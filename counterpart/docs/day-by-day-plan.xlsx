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Day Plan" sheetId="2" state="visible" r:id="rId4"/>
    <sheet name="Workstreams" sheetId="3" state="visible" r:id="rId5"/>
    <sheet name="Risk Register" sheetId="4" state="visible" r:id="rId6"/>
    <sheet name="Decision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Day number from start. Multiple tasks can share a day.</t>
        </r>
      </text>
    </comment>
    <comment ref="B6" authorId="0">
      <text>
        <r>
          <rPr>
            <sz val="10"/>
            <rFont val="Arial"/>
            <family val="2"/>
          </rPr>
          <t xml:space="preserve">Auto-computed from start date in Settings.</t>
        </r>
      </text>
    </comment>
    <comment ref="G6" authorId="0">
      <text>
        <r>
          <rPr>
            <sz val="10"/>
            <rFont val="Arial"/>
            <family val="2"/>
          </rPr>
          <t xml:space="preserve">Comma-separated day numbers that must complete before this task.</t>
        </r>
      </text>
    </comment>
    <comment ref="I6" authorId="0">
      <text>
        <r>
          <rPr>
            <sz val="10"/>
            <rFont val="Arial"/>
            <family val="2"/>
          </rPr>
          <t xml:space="preserve">Set FALSE to skip without deleting.</t>
        </r>
      </text>
    </comment>
    <comment ref="L6" authorId="0">
      <text>
        <r>
          <rPr>
            <sz val="10"/>
            <rFont val="Arial"/>
            <family val="2"/>
          </rPr>
          <t xml:space="preserve">Mark TRUE when complete.</t>
        </r>
      </text>
    </comment>
  </commentList>
</comments>
</file>

<file path=xl/sharedStrings.xml><?xml version="1.0" encoding="utf-8"?>
<sst xmlns="http://schemas.openxmlformats.org/spreadsheetml/2006/main" count="580" uniqueCount="334">
  <si>
    <t xml:space="preserve">Counterpart MVP — Plan Settings (Revised)</t>
  </si>
  <si>
    <t xml:space="preserve">Edit values in column B. The plan is now scoped around memory + summary + logging, not the full classifier. Dates compute from start date.</t>
  </si>
  <si>
    <t xml:space="preserve">Setting</t>
  </si>
  <si>
    <t xml:space="preserve">Value</t>
  </si>
  <si>
    <t xml:space="preserve">Notes</t>
  </si>
  <si>
    <t xml:space="preserve">Plan start date</t>
  </si>
  <si>
    <t xml:space="preserve">2026-05-11</t>
  </si>
  <si>
    <t xml:space="preserve">First working day.</t>
  </si>
  <si>
    <t xml:space="preserve">Working days per week</t>
  </si>
  <si>
    <t xml:space="preserve">5 = mon-fri, 6 = include sat, 7 = include sun.</t>
  </si>
  <si>
    <t xml:space="preserve">Hours per working day</t>
  </si>
  <si>
    <t xml:space="preserve">Realistic hours of focused work per day.</t>
  </si>
  <si>
    <t xml:space="preserve">Skip weekends</t>
  </si>
  <si>
    <t xml:space="preserve">TRUE = saturdays and sundays non-working.</t>
  </si>
  <si>
    <t xml:space="preserve">Founder solo</t>
  </si>
  <si>
    <t xml:space="preserve">TRUE = solo. FALSE = adjust task estimates.</t>
  </si>
  <si>
    <t xml:space="preserve">Apply to YC</t>
  </si>
  <si>
    <t xml:space="preserve">TRUE = include YC application milestones.</t>
  </si>
  <si>
    <t xml:space="preserve">Target launch day</t>
  </si>
  <si>
    <t xml:space="preserve">Working day number of public launch.</t>
  </si>
  <si>
    <t xml:space="preserve">Buffer days at end</t>
  </si>
  <si>
    <t xml:space="preserve">Slippage absorption between core build done and launch.</t>
  </si>
  <si>
    <t xml:space="preserve">Workstream legend</t>
  </si>
  <si>
    <t xml:space="preserve">Build</t>
  </si>
  <si>
    <t xml:space="preserve">Engineering — product, logging, summarization</t>
  </si>
  <si>
    <t xml:space="preserve">Marketing</t>
  </si>
  <si>
    <t xml:space="preserve">Content, social, audience, founder voice</t>
  </si>
  <si>
    <t xml:space="preserve">Research</t>
  </si>
  <si>
    <t xml:space="preserve">User interviews, evals, prompt iteration</t>
  </si>
  <si>
    <t xml:space="preserve">Ops</t>
  </si>
  <si>
    <t xml:space="preserve">Setup, accounts, legal, admin, money</t>
  </si>
  <si>
    <t xml:space="preserve">What changed from previous version</t>
  </si>
  <si>
    <t xml:space="preserve">1. Personalization is now memory + summary, not full classifier. Saves ~10 days.</t>
  </si>
  <si>
    <t xml:space="preserve">2. Behavioral logging is now richer — Tier 1 of data collection doc fully implemented at MVP.</t>
  </si>
  <si>
    <t xml:space="preserve">3. Onboarding is more thorough — five forced-choice questions + free text + initial summary generation.</t>
  </si>
  <si>
    <t xml:space="preserve">4. Profile transparency UI is now first-class, not a final-week add-on.</t>
  </si>
  <si>
    <t xml:space="preserve">5. Phase 2 components (full classifier, Bayesian filter, etc.) are deferred until data shows they're needed.</t>
  </si>
  <si>
    <t xml:space="preserve">6. The full classifier plan and prompts document are still valid as Phase 2 reference material.</t>
  </si>
  <si>
    <t xml:space="preserve">Counterpart MVP — Day-by-Day Plan (Revised)</t>
  </si>
  <si>
    <t xml:space="preserve">Total tasks</t>
  </si>
  <si>
    <t xml:space="preserve">Tasks done</t>
  </si>
  <si>
    <t xml:space="preserve">Progress</t>
  </si>
  <si>
    <t xml:space="preserve">Total hours</t>
  </si>
  <si>
    <t xml:space="preserve">Hours done</t>
  </si>
  <si>
    <t xml:space="preserve">Target launch</t>
  </si>
  <si>
    <t xml:space="preserve">Day</t>
  </si>
  <si>
    <t xml:space="preserve">Date</t>
  </si>
  <si>
    <t xml:space="preserve">Phase</t>
  </si>
  <si>
    <t xml:space="preserve">Workstream</t>
  </si>
  <si>
    <t xml:space="preserve">Task</t>
  </si>
  <si>
    <t xml:space="preserve">Why this matters</t>
  </si>
  <si>
    <t xml:space="preserve">Depends on</t>
  </si>
  <si>
    <t xml:space="preserve">Hours</t>
  </si>
  <si>
    <t xml:space="preserve">Working</t>
  </si>
  <si>
    <t xml:space="preserve">Blocks</t>
  </si>
  <si>
    <t xml:space="preserve">Done</t>
  </si>
  <si>
    <t xml:space="preserve">1 — Foundations</t>
  </si>
  <si>
    <t xml:space="preserve">Generate 30-50 candidate product names. Run trademark + domain checks on top 10</t>
  </si>
  <si>
    <t xml:space="preserve">Counterpart name has trademark conflict; rename before any public launch</t>
  </si>
  <si>
    <t xml:space="preserve">Create accounts: GitHub, Vercel, Supabase, Anthropic API, Voyage AI</t>
  </si>
  <si>
    <t xml:space="preserve">Foundation infrastructure</t>
  </si>
  <si>
    <t xml:space="preserve">Read principles + branding + data collection docs. Draft positioning</t>
  </si>
  <si>
    <t xml:space="preserve">Lead with personalization, not anti-sycophancy</t>
  </si>
  <si>
    <t xml:space="preserve">Email UK trademark attorney for clearance opinion on top 3 names (£300-700)</t>
  </si>
  <si>
    <t xml:space="preserve">Cheaper than later rebrand</t>
  </si>
  <si>
    <t xml:space="preserve">1</t>
  </si>
  <si>
    <t xml:space="preserve">Initialize Next.js 14 + TypeScript + Tailwind + shadcn/ui app. Push to GitHub</t>
  </si>
  <si>
    <t xml:space="preserve">Frontend scaffold</t>
  </si>
  <si>
    <t xml:space="preserve">Set up Codespaces config (.devcontainer) with Claude Code installed</t>
  </si>
  <si>
    <t xml:space="preserve">Cross-device dev</t>
  </si>
  <si>
    <t xml:space="preserve">Set up X account, write profile bio, post intro thread</t>
  </si>
  <si>
    <t xml:space="preserve">Audience-building takes 3-6 months. Start now</t>
  </si>
  <si>
    <t xml:space="preserve">Buy domain + reserve handles for top 3 candidate names</t>
  </si>
  <si>
    <t xml:space="preserve">Lock identity before final decision</t>
  </si>
  <si>
    <t xml:space="preserve">2</t>
  </si>
  <si>
    <t xml:space="preserve">Build schema: users, sessions, messages, response_pairs, onboarding_responses, user_profiles, events tables</t>
  </si>
  <si>
    <t xml:space="preserve">Schema from data collection doc § 2. Comprehensive from day 1</t>
  </si>
  <si>
    <t xml:space="preserve">Wire up Supabase Auth (email magic link or Google SSO)</t>
  </si>
  <si>
    <t xml:space="preserve">Need user identity for any personalization</t>
  </si>
  <si>
    <t xml:space="preserve">3</t>
  </si>
  <si>
    <t xml:space="preserve">Build landing page v1: hero + 3 proof points + email capture</t>
  </si>
  <si>
    <t xml:space="preserve">Start collecting emails immediately</t>
  </si>
  <si>
    <t xml:space="preserve">Build minimal chat loop: input → API → Claude Sonnet → display. Working end-to-end</t>
  </si>
  <si>
    <t xml:space="preserve">Working product. Foundation for everything</t>
  </si>
  <si>
    <t xml:space="preserve">Implement comprehensive message logging: every user + assistant message with all linguistic features</t>
  </si>
  <si>
    <t xml:space="preserve">Tier 1 logging from data collection doc. Non-negotiable from day 1</t>
  </si>
  <si>
    <t xml:space="preserve">4</t>
  </si>
  <si>
    <t xml:space="preserve">Submit landing page to Indie Hackers; share on personal X</t>
  </si>
  <si>
    <t xml:space="preserve">Tiny early audience signal</t>
  </si>
  <si>
    <t xml:space="preserve">Implement response_pairs table population: regenerate, time-to-followup, copy detection</t>
  </si>
  <si>
    <t xml:space="preserve">The relationship layer. Most analytical questions answered from this table later</t>
  </si>
  <si>
    <t xml:space="preserve">Implement session creation, close detection, basic session metrics</t>
  </si>
  <si>
    <t xml:space="preserve">Sessions are the unit of analysis for retention</t>
  </si>
  <si>
    <t xml:space="preserve">Write manifesto essay v1: 'The personal AI thesis'</t>
  </si>
  <si>
    <t xml:space="preserve">Long-form artifact for newsletters, HN, YC. Cross-post X+LinkedIn</t>
  </si>
  <si>
    <t xml:space="preserve">Write privacy policy + terms of service (Termly or fiverr lawyer)</t>
  </si>
  <si>
    <t xml:space="preserve">Privacy posture is a brand feature</t>
  </si>
  <si>
    <t xml:space="preserve">Set up PostHog analytics, instrument basic frontend events</t>
  </si>
  <si>
    <t xml:space="preserve">Behavioral signals + product analytics are different. Need both</t>
  </si>
  <si>
    <t xml:space="preserve">5</t>
  </si>
  <si>
    <t xml:space="preserve">Deploy to Vercel; verify chat loop and logging work in production</t>
  </si>
  <si>
    <t xml:space="preserve">Local-only doesn't count</t>
  </si>
  <si>
    <t xml:space="preserve">Publish manifesto essay. Cross-post X thread + LinkedIn</t>
  </si>
  <si>
    <t xml:space="preserve">First major content artifact</t>
  </si>
  <si>
    <t xml:space="preserve">First X build-in-public post with screenshot</t>
  </si>
  <si>
    <t xml:space="preserve">Establish cadence</t>
  </si>
  <si>
    <t xml:space="preserve">6</t>
  </si>
  <si>
    <t xml:space="preserve">Buffer day: catch up on Phase 1 slippage, refactor, fix bugs</t>
  </si>
  <si>
    <t xml:space="preserve">Always slippage. Better to absorb than push forward</t>
  </si>
  <si>
    <t xml:space="preserve">Reply to manifesto comments + X thread engagement</t>
  </si>
  <si>
    <t xml:space="preserve">48h engagement window is critical</t>
  </si>
  <si>
    <t xml:space="preserve">2 — Personalization layer</t>
  </si>
  <si>
    <t xml:space="preserve">Build onboarding UI: 5 forced-choice questions + 3 free-text fields with timing capture</t>
  </si>
  <si>
    <t xml:space="preserve">Onboarding is the moment users feel personalization first. Critical UX</t>
  </si>
  <si>
    <t xml:space="preserve">7</t>
  </si>
  <si>
    <t xml:space="preserve">Capture choice durations on frontend (decision speed signal)</t>
  </si>
  <si>
    <t xml:space="preserve">Fast choice = confident, slow = deliberation</t>
  </si>
  <si>
    <t xml:space="preserve">8</t>
  </si>
  <si>
    <t xml:space="preserve">Implement initial profile summary generation: Haiku call from onboarding inputs</t>
  </si>
  <si>
    <t xml:space="preserve">First profile = first impression. Has to be good</t>
  </si>
  <si>
    <t xml:space="preserve">Build user_profiles table with versioning (is_current, version columns)</t>
  </si>
  <si>
    <t xml:space="preserve">Old summaries kept for analysis; never overwrite</t>
  </si>
  <si>
    <t xml:space="preserve">9</t>
  </si>
  <si>
    <t xml:space="preserve">Wire system prompt composer: base + user_summary + session_context</t>
  </si>
  <si>
    <t xml:space="preserve">Where personalization actually shows up in responses</t>
  </si>
  <si>
    <t xml:space="preserve">10</t>
  </si>
  <si>
    <t xml:space="preserve">Implement A/B cohort assignment at signup (with-personalization vs without)</t>
  </si>
  <si>
    <t xml:space="preserve">Without this, can't validate that personalization works. CRITICAL non-negotiable</t>
  </si>
  <si>
    <t xml:space="preserve">11</t>
  </si>
  <si>
    <t xml:space="preserve">Wire cohort into system prompt composer (without-cohort gets base instruction only)</t>
  </si>
  <si>
    <t xml:space="preserve">Control group sees generic AI. The comparison is the validation</t>
  </si>
  <si>
    <t xml:space="preserve">12</t>
  </si>
  <si>
    <t xml:space="preserve">Log cohort_at_generation on every response_pair</t>
  </si>
  <si>
    <t xml:space="preserve">Snapshots for future analysis. Must be in row at write time</t>
  </si>
  <si>
    <t xml:space="preserve">Daily X post: build-in-public update on architecture</t>
  </si>
  <si>
    <t xml:space="preserve">Cadence</t>
  </si>
  <si>
    <t xml:space="preserve">Build session_close detection background job (5min cadence, 30min idle threshold)</t>
  </si>
  <si>
    <t xml:space="preserve">Sessions close themselves; don't depend on user explicit action</t>
  </si>
  <si>
    <t xml:space="preserve">Implement summarization job: load profile + session, call Haiku, write new version</t>
  </si>
  <si>
    <t xml:space="preserve">The compounding personalization mechanism. Heart of the MVP</t>
  </si>
  <si>
    <t xml:space="preserve">13</t>
  </si>
  <si>
    <t xml:space="preserve">Frontend typing instrumentation: typing_started_at, typing_duration, edit_count, paste_event_count</t>
  </si>
  <si>
    <t xml:space="preserve">Tier 2 logging. Reveals cognitive load patterns</t>
  </si>
  <si>
    <t xml:space="preserve">Frontend scroll/read instrumentation on responses</t>
  </si>
  <si>
    <t xml:space="preserve">Reading depth is high-signal for response quality</t>
  </si>
  <si>
    <t xml:space="preserve">15</t>
  </si>
  <si>
    <t xml:space="preserve">Page visibility events (count tab switches, don't track destination)</t>
  </si>
  <si>
    <t xml:space="preserve">Distraction proxy without surveillance</t>
  </si>
  <si>
    <t xml:space="preserve">Integrate Voyage AI embeddings, populate messages.embedding asynchronously</t>
  </si>
  <si>
    <t xml:space="preserve">Embedding is substrate for retrieval and clustering</t>
  </si>
  <si>
    <t xml:space="preserve">Build retrieval function: k=5 most similar past messages for current user</t>
  </si>
  <si>
    <t xml:space="preserve">Per-user few-shot context for response generation</t>
  </si>
  <si>
    <t xml:space="preserve">18</t>
  </si>
  <si>
    <t xml:space="preserve">Wire retrieval into system prompt composer (optional context block)</t>
  </si>
  <si>
    <t xml:space="preserve">Personalization through history retrieval</t>
  </si>
  <si>
    <t xml:space="preserve">19</t>
  </si>
  <si>
    <t xml:space="preserve">Build background jobs: 24h/7d/30d return checks, topic shift computation</t>
  </si>
  <si>
    <t xml:space="preserve">Outcome signals only fillable async. Schedule them now</t>
  </si>
  <si>
    <t xml:space="preserve">5,11</t>
  </si>
  <si>
    <t xml:space="preserve">Build user_aggregates nightly rollup job</t>
  </si>
  <si>
    <t xml:space="preserve">Per-user metrics for retention analysis</t>
  </si>
  <si>
    <t xml:space="preserve">20</t>
  </si>
  <si>
    <t xml:space="preserve">Weekly X thread: 'building the data layer for a personal AI'</t>
  </si>
  <si>
    <t xml:space="preserve">Show engineering depth</t>
  </si>
  <si>
    <t xml:space="preserve">End-to-end test: create user, complete onboarding, run 50 messages, verify all logging fields populate correctly</t>
  </si>
  <si>
    <t xml:space="preserve">Catch logging bugs before users do. Bad data is worse than no data</t>
  </si>
  <si>
    <t xml:space="preserve">21</t>
  </si>
  <si>
    <t xml:space="preserve">Bug fixes from end-to-end test</t>
  </si>
  <si>
    <t xml:space="preserve">Always issues. Fix now while it's still simple</t>
  </si>
  <si>
    <t xml:space="preserve">22</t>
  </si>
  <si>
    <t xml:space="preserve">3 — Polish + onboarding</t>
  </si>
  <si>
    <t xml:space="preserve">Build 'My Data' panel: view profile summary, edit it, view conversation history</t>
  </si>
  <si>
    <t xml:space="preserve">Privacy posture is a brand feature. Users always know what's stored</t>
  </si>
  <si>
    <t xml:space="preserve">Daily X post: showing the profile transparency UI</t>
  </si>
  <si>
    <t xml:space="preserve">Differentiator vs ChatGPT — show, don't tell</t>
  </si>
  <si>
    <t xml:space="preserve">Implement end-to-end account deletion (cascade through messages, embeddings, profiles, response_pairs)</t>
  </si>
  <si>
    <t xml:space="preserve">GDPR right-to-erasure must work. Non-negotiable</t>
  </si>
  <si>
    <t xml:space="preserve">23</t>
  </si>
  <si>
    <t xml:space="preserve">Test deletion thoroughly: nothing left behind</t>
  </si>
  <si>
    <t xml:space="preserve">Audit trail for deletion is itself sensitive</t>
  </si>
  <si>
    <t xml:space="preserve">24</t>
  </si>
  <si>
    <t xml:space="preserve">Buffer / admin</t>
  </si>
  <si>
    <t xml:space="preserve">Catch up on accounts, invoices</t>
  </si>
  <si>
    <t xml:space="preserve">Build the 10-message profile preview: 'here's what Counterpart understands about you'</t>
  </si>
  <si>
    <t xml:space="preserve">Compounding-value moment. Users need to see personalization working</t>
  </si>
  <si>
    <t xml:space="preserve">Onboarding polish: progress indicators, animation, 'why we ask' explanations</t>
  </si>
  <si>
    <t xml:space="preserve">Onboarding completion rate matters for activation</t>
  </si>
  <si>
    <t xml:space="preserve">Onboard 5 alpha users. 30-min walkthrough each. Notes from every session</t>
  </si>
  <si>
    <t xml:space="preserve">Real humans on real product before launch</t>
  </si>
  <si>
    <t xml:space="preserve">26</t>
  </si>
  <si>
    <t xml:space="preserve">Write essay v2: 'What I've learned from 5 users in 30 days'</t>
  </si>
  <si>
    <t xml:space="preserve">Honest essays build credibility</t>
  </si>
  <si>
    <t xml:space="preserve">27</t>
  </si>
  <si>
    <t xml:space="preserve">Bug-fix sprint from alpha sessions: top 5 issues</t>
  </si>
  <si>
    <t xml:space="preserve">Always issues. Fix the worst before scale</t>
  </si>
  <si>
    <t xml:space="preserve">Publish essay v2; reply to comments</t>
  </si>
  <si>
    <t xml:space="preserve">Engagement window after publishing</t>
  </si>
  <si>
    <t xml:space="preserve">Record 5 demo videos: 30-60s clips showing personalization in action</t>
  </si>
  <si>
    <t xml:space="preserve">Highest-ROI content. Show the difference vs ChatGPT in 30 seconds</t>
  </si>
  <si>
    <t xml:space="preserve">28</t>
  </si>
  <si>
    <t xml:space="preserve">Update landing page v2: real user quotes + best demo video</t>
  </si>
  <si>
    <t xml:space="preserve">Real quotes always beat marketing copy</t>
  </si>
  <si>
    <t xml:space="preserve">29</t>
  </si>
  <si>
    <t xml:space="preserve">4 — Pre-launch</t>
  </si>
  <si>
    <t xml:space="preserve">Add retry logic, error handling, graceful degradation</t>
  </si>
  <si>
    <t xml:space="preserve">Production needs to survive API failures</t>
  </si>
  <si>
    <t xml:space="preserve">Set up Sentry for errors + simple metrics dashboard</t>
  </si>
  <si>
    <t xml:space="preserve">Can't fix what you can't see</t>
  </si>
  <si>
    <t xml:space="preserve">30</t>
  </si>
  <si>
    <t xml:space="preserve">Load test: simulate 100 concurrent users</t>
  </si>
  <si>
    <t xml:space="preserve">Launch surge will be larger than current capacity</t>
  </si>
  <si>
    <t xml:space="preserve">Implement free tier limits (e.g. 30 messages/day) and Stripe upgrade flow</t>
  </si>
  <si>
    <t xml:space="preserve">Free for data, premium for committed users</t>
  </si>
  <si>
    <t xml:space="preserve">31</t>
  </si>
  <si>
    <t xml:space="preserve">Build founders' cohort badge for first 1000 users</t>
  </si>
  <si>
    <t xml:space="preserve">FOMO without slowing acquisition</t>
  </si>
  <si>
    <t xml:space="preserve">32</t>
  </si>
  <si>
    <t xml:space="preserve">Write Show HN post + draft Product Hunt launch copy</t>
  </si>
  <si>
    <t xml:space="preserve">Coordinated launch needs prep</t>
  </si>
  <si>
    <t xml:space="preserve">Reach out to AI/productivity creators for early access</t>
  </si>
  <si>
    <t xml:space="preserve">Independent creator coverage worth 10x paid placement</t>
  </si>
  <si>
    <t xml:space="preserve">Schedule launch week posts in Typefully</t>
  </si>
  <si>
    <t xml:space="preserve">Don't write copy during launch week</t>
  </si>
  <si>
    <t xml:space="preserve">Final privacy audit: profile delete works end-to-end including embeddings</t>
  </si>
  <si>
    <t xml:space="preserve">Non-negotiable</t>
  </si>
  <si>
    <t xml:space="preserve">33</t>
  </si>
  <si>
    <t xml:space="preserve">Internal QA pass on 50 test conversations across user types</t>
  </si>
  <si>
    <t xml:space="preserve">Catch embarrassing edge cases before public users do</t>
  </si>
  <si>
    <t xml:space="preserve">Verify cohort assignment recorded for every new user</t>
  </si>
  <si>
    <t xml:space="preserve">If cohorts aren't assigned, validation thesis is unverifiable</t>
  </si>
  <si>
    <t xml:space="preserve">Final buffer day: blockers, last polish</t>
  </si>
  <si>
    <t xml:space="preserve">Always need a buffer day before launch</t>
  </si>
  <si>
    <t xml:space="preserve">34</t>
  </si>
  <si>
    <t xml:space="preserve">Email signups list: launch tomorrow</t>
  </si>
  <si>
    <t xml:space="preserve">Email list is the warmest channel</t>
  </si>
  <si>
    <t xml:space="preserve">Sleep early, hydrate, eat real food</t>
  </si>
  <si>
    <t xml:space="preserve">Launch day is intense</t>
  </si>
  <si>
    <t xml:space="preserve">Buffer / final polish</t>
  </si>
  <si>
    <t xml:space="preserve">Last chance before launch</t>
  </si>
  <si>
    <t xml:space="preserve">35</t>
  </si>
  <si>
    <t xml:space="preserve">Final pre-launch X thread: 'tomorrow we ship'</t>
  </si>
  <si>
    <t xml:space="preserve">Build anticipation</t>
  </si>
  <si>
    <t xml:space="preserve">Final tests of everything end-to-end</t>
  </si>
  <si>
    <t xml:space="preserve">Launch confidence</t>
  </si>
  <si>
    <t xml:space="preserve">37</t>
  </si>
  <si>
    <t xml:space="preserve">Pre-launch DM blitz to engaged followers</t>
  </si>
  <si>
    <t xml:space="preserve">Soft warm-up for launch day audience</t>
  </si>
  <si>
    <t xml:space="preserve">Day-of-launch checklist: monitoring active, error alerts on, scaling plans ready</t>
  </si>
  <si>
    <t xml:space="preserve">If anything breaks during launch, you need to know fast</t>
  </si>
  <si>
    <t xml:space="preserve">39</t>
  </si>
  <si>
    <t xml:space="preserve">Final scheduled posts confirmed; prepare for live engagement</t>
  </si>
  <si>
    <t xml:space="preserve">Pre-prepare so launch day is just engagement</t>
  </si>
  <si>
    <t xml:space="preserve">LAUNCH: Product Hunt, Show HN, X thread, email list announcement</t>
  </si>
  <si>
    <t xml:space="preserve">MVP is live. Real data from here</t>
  </si>
  <si>
    <t xml:space="preserve">40</t>
  </si>
  <si>
    <t xml:space="preserve">Reply to every comment, DM, HN thread</t>
  </si>
  <si>
    <t xml:space="preserve">Engagement window critical</t>
  </si>
  <si>
    <t xml:space="preserve">41</t>
  </si>
  <si>
    <t xml:space="preserve">5 — Post-launch</t>
  </si>
  <si>
    <t xml:space="preserve">Continue replying to launch engagement</t>
  </si>
  <si>
    <t xml:space="preserve">48h window</t>
  </si>
  <si>
    <t xml:space="preserve">Daily review of behavioral signals. Identify top 3 issues</t>
  </si>
  <si>
    <t xml:space="preserve">Real data finally. Use it</t>
  </si>
  <si>
    <t xml:space="preserve">Hot-fix sprint: top issues from launch users</t>
  </si>
  <si>
    <t xml:space="preserve">Always issues</t>
  </si>
  <si>
    <t xml:space="preserve">42</t>
  </si>
  <si>
    <t xml:space="preserve">Continue hot fixes</t>
  </si>
  <si>
    <t xml:space="preserve">Stabilize first</t>
  </si>
  <si>
    <t xml:space="preserve">Personal email to first 50 users for 15-min feedback call</t>
  </si>
  <si>
    <t xml:space="preserve">Talking to users beats reading metrics</t>
  </si>
  <si>
    <t xml:space="preserve">X post: '24h after launch, here's what happened'</t>
  </si>
  <si>
    <t xml:space="preserve">Transparency builds trust</t>
  </si>
  <si>
    <t xml:space="preserve">Finalize YC application using real launch data and retention numbers</t>
  </si>
  <si>
    <t xml:space="preserve">Real users + retention data &gt; polished pitch</t>
  </si>
  <si>
    <t xml:space="preserve">43</t>
  </si>
  <si>
    <t xml:space="preserve">Reach out to AI newsletters for feature: Lenny's, Every, Ben's Bites</t>
  </si>
  <si>
    <t xml:space="preserve">Newsletter feature drives 1k-10k signups</t>
  </si>
  <si>
    <t xml:space="preserve">First feedback call with launch user</t>
  </si>
  <si>
    <t xml:space="preserve">Direct conversation</t>
  </si>
  <si>
    <t xml:space="preserve">Write 'launch week recap' essay: numbers, surprises, what's next</t>
  </si>
  <si>
    <t xml:space="preserve">Numbers good or bad. Honesty compounds</t>
  </si>
  <si>
    <t xml:space="preserve">44</t>
  </si>
  <si>
    <t xml:space="preserve">First retention SQL queries: D1 returns by cohort, response pair patterns</t>
  </si>
  <si>
    <t xml:space="preserve">Start the analysis loop. Data is finally there</t>
  </si>
  <si>
    <t xml:space="preserve">More feedback calls</t>
  </si>
  <si>
    <t xml:space="preserve">Pattern emerges around call 5-10</t>
  </si>
  <si>
    <t xml:space="preserve">Address whatever the data says is the biggest problem</t>
  </si>
  <si>
    <t xml:space="preserve">Iteration mode based on real data</t>
  </si>
  <si>
    <t xml:space="preserve">45</t>
  </si>
  <si>
    <t xml:space="preserve">Write next thought piece based on what's emerging from data</t>
  </si>
  <si>
    <t xml:space="preserve">Thought leadership compounds</t>
  </si>
  <si>
    <t xml:space="preserve">Decide what Phase 2 work the data is calling for</t>
  </si>
  <si>
    <t xml:space="preserve">Triggers from principles doc § 6 — does cold-start retention need fixing? Etc.</t>
  </si>
  <si>
    <t xml:space="preserve">Workstreams Summary</t>
  </si>
  <si>
    <t xml:space="preserve">Counts auto-update from Day Plan.</t>
  </si>
  <si>
    <t xml:space="preserve">Tasks</t>
  </si>
  <si>
    <t xml:space="preserve">Hours total</t>
  </si>
  <si>
    <t xml:space="preserve">% Complete</t>
  </si>
  <si>
    <t xml:space="preserve">Total</t>
  </si>
  <si>
    <t xml:space="preserve">By phase</t>
  </si>
  <si>
    <t xml:space="preserve">Hours per day</t>
  </si>
  <si>
    <t xml:space="preserve">% complete</t>
  </si>
  <si>
    <t xml:space="preserve">Risk Register</t>
  </si>
  <si>
    <t xml:space="preserve">Things that could derail the plan.</t>
  </si>
  <si>
    <t xml:space="preserve">Risk</t>
  </si>
  <si>
    <t xml:space="preserve">Probability (1-5)</t>
  </si>
  <si>
    <t xml:space="preserve">Severity (1-5)</t>
  </si>
  <si>
    <t xml:space="preserve">Score</t>
  </si>
  <si>
    <t xml:space="preserve">Mitigation</t>
  </si>
  <si>
    <t xml:space="preserve">Trademark clearance fails on candidate names</t>
  </si>
  <si>
    <t xml:space="preserve">Generate 50+ candidates upfront. Have backups.</t>
  </si>
  <si>
    <t xml:space="preserve">Anthropic API rate limits during build</t>
  </si>
  <si>
    <t xml:space="preserve">Retry/exponential backoff. Cache aggressively.</t>
  </si>
  <si>
    <t xml:space="preserve">Cold-start retention &lt; 20%</t>
  </si>
  <si>
    <t xml:space="preserve">Onboarding loop and 10-message preview address this.</t>
  </si>
  <si>
    <t xml:space="preserve">Personalization cohort doesn't beat control</t>
  </si>
  <si>
    <t xml:space="preserve">Honor the data. Maybe the summary needs to be richer, or the system prompt composition needs work. Iterate before assuming the thesis is wrong.</t>
  </si>
  <si>
    <t xml:space="preserve">Feature creep slows launch beyond day 30</t>
  </si>
  <si>
    <t xml:space="preserve">Buffer days absorb 1 week. Beyond that, cut scope.</t>
  </si>
  <si>
    <t xml:space="preserve">Founder burnout from solo pace</t>
  </si>
  <si>
    <t xml:space="preserve">5 days/week not 7. Recover on weekends.</t>
  </si>
  <si>
    <t xml:space="preserve">Privacy bug — user data leaks or delete fails</t>
  </si>
  <si>
    <t xml:space="preserve">Day 25 privacy audit non-negotiable.</t>
  </si>
  <si>
    <t xml:space="preserve">Summarization job produces bad summaries</t>
  </si>
  <si>
    <t xml:space="preserve">Test prompt thoroughly before launch. Manual review of 50 summaries.</t>
  </si>
  <si>
    <t xml:space="preserve">Behavioral logging has bugs corrupting data</t>
  </si>
  <si>
    <t xml:space="preserve">Day 15 end-to-end test catches this. Bad data is worse than no data.</t>
  </si>
  <si>
    <t xml:space="preserve">Mem0 or Supabase service issues at scale</t>
  </si>
  <si>
    <t xml:space="preserve">Free tiers tested at small scale. Have fallback plans.</t>
  </si>
  <si>
    <t xml:space="preserve">Decision Log</t>
  </si>
  <si>
    <t xml:space="preserve">Use this whenever you make a real decision.</t>
  </si>
  <si>
    <t xml:space="preserve">Decision</t>
  </si>
  <si>
    <t xml:space="preserve">Why</t>
  </si>
  <si>
    <t xml:space="preserve">What changed in plan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</si>
</sst>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yyyy\-mm\-dd\ ddd"/>
    <numFmt numFmtId="168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ptos"/>
      <family val="0"/>
      <charset val="1"/>
    </font>
    <font>
      <i val="true"/>
      <sz val="10"/>
      <color rgb="FF666666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1"/>
      <name val="Aptos"/>
      <family val="0"/>
      <charset val="1"/>
    </font>
    <font>
      <b val="true"/>
      <sz val="11"/>
      <color rgb="FF1F3A5F"/>
      <name val="Aptos"/>
      <family val="0"/>
      <charset val="1"/>
    </font>
    <font>
      <b val="true"/>
      <sz val="11"/>
      <name val="Aptos"/>
      <family val="0"/>
      <charset val="1"/>
    </font>
    <font>
      <b val="true"/>
      <sz val="12"/>
      <color rgb="FF1F3A5F"/>
      <name val="Aptos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ACD"/>
        <bgColor rgb="FFFFF8E1"/>
      </patternFill>
    </fill>
    <fill>
      <patternFill patternType="solid">
        <fgColor rgb="FFD5E8F0"/>
        <bgColor rgb="FFD4EDDA"/>
      </patternFill>
    </fill>
    <fill>
      <patternFill patternType="solid">
        <fgColor rgb="FFE8F4FD"/>
        <bgColor rgb="FFE1F5FE"/>
      </patternFill>
    </fill>
    <fill>
      <patternFill patternType="solid">
        <fgColor rgb="FFFFF4E5"/>
        <bgColor rgb="FFFFF8E1"/>
      </patternFill>
    </fill>
    <fill>
      <patternFill patternType="solid">
        <fgColor rgb="FFF0E8FD"/>
        <bgColor rgb="FFF3E5F5"/>
      </patternFill>
    </fill>
    <fill>
      <patternFill patternType="solid">
        <fgColor rgb="FFE8FDE8"/>
        <bgColor rgb="FFE8F4FD"/>
      </patternFill>
    </fill>
    <fill>
      <patternFill patternType="solid">
        <fgColor rgb="FFFFF8E1"/>
        <bgColor rgb="FFFFF4E5"/>
      </patternFill>
    </fill>
    <fill>
      <patternFill patternType="solid">
        <fgColor rgb="FFE1F5FE"/>
        <bgColor rgb="FFE8F4FD"/>
      </patternFill>
    </fill>
    <fill>
      <patternFill patternType="solid">
        <fgColor rgb="FFF3E5F5"/>
        <bgColor rgb="FFF0E8FD"/>
      </patternFill>
    </fill>
    <fill>
      <patternFill patternType="solid">
        <fgColor rgb="FFFFE0B2"/>
        <bgColor rgb="FFFFE9C8"/>
      </patternFill>
    </fill>
    <fill>
      <patternFill patternType="solid">
        <fgColor rgb="FFC8E6C9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ptos"/>
        <charset val="1"/>
        <family val="0"/>
        <strike val="1"/>
        <color rgb="FF666666"/>
        <sz val="11"/>
      </font>
      <fill>
        <patternFill>
          <bgColor rgb="FFD4EDDA"/>
        </patternFill>
      </fill>
    </dxf>
    <dxf>
      <fill>
        <patternFill>
          <bgColor rgb="FFF8C8C8"/>
        </patternFill>
      </fill>
    </dxf>
    <dxf>
      <fill>
        <patternFill>
          <bgColor rgb="FFFFE9C8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0E8FD"/>
      <rgbColor rgb="FF993366"/>
      <rgbColor rgb="FFFFFACD"/>
      <rgbColor rgb="FFE1F5FE"/>
      <rgbColor rgb="FF660066"/>
      <rgbColor rgb="FFFF8080"/>
      <rgbColor rgb="FF0066CC"/>
      <rgbColor rgb="FFD5E8F0"/>
      <rgbColor rgb="FF000080"/>
      <rgbColor rgb="FFFF00FF"/>
      <rgbColor rgb="FFFFF4E5"/>
      <rgbColor rgb="FF00FFFF"/>
      <rgbColor rgb="FF800080"/>
      <rgbColor rgb="FF800000"/>
      <rgbColor rgb="FF008080"/>
      <rgbColor rgb="FF0000FF"/>
      <rgbColor rgb="FF00CCFF"/>
      <rgbColor rgb="FFE8FDE8"/>
      <rgbColor rgb="FFD4EDDA"/>
      <rgbColor rgb="FFFFE9C8"/>
      <rgbColor rgb="FFC8E6C9"/>
      <rgbColor rgb="FFFFE0B2"/>
      <rgbColor rgb="FFF3E5F5"/>
      <rgbColor rgb="FFF8C8C8"/>
      <rgbColor rgb="FF3366FF"/>
      <rgbColor rgb="FF33CCCC"/>
      <rgbColor rgb="FF99CC00"/>
      <rgbColor rgb="FFE8F4FD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/>
      <c r="C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  <c r="C6" s="4" t="s">
        <v>7</v>
      </c>
    </row>
    <row r="7" customFormat="false" ht="15" hidden="false" customHeight="false" outlineLevel="0" collapsed="false">
      <c r="A7" s="4" t="s">
        <v>8</v>
      </c>
      <c r="B7" s="5" t="n">
        <v>5</v>
      </c>
      <c r="C7" s="4" t="s">
        <v>9</v>
      </c>
    </row>
    <row r="8" customFormat="false" ht="15" hidden="false" customHeight="false" outlineLevel="0" collapsed="false">
      <c r="A8" s="4" t="s">
        <v>10</v>
      </c>
      <c r="B8" s="5" t="n">
        <v>8</v>
      </c>
      <c r="C8" s="4" t="s">
        <v>11</v>
      </c>
    </row>
    <row r="9" customFormat="false" ht="15" hidden="false" customHeight="false" outlineLevel="0" collapsed="false">
      <c r="A9" s="4" t="s">
        <v>12</v>
      </c>
      <c r="B9" s="6" t="b">
        <f aca="false">TRUE()</f>
        <v>1</v>
      </c>
      <c r="C9" s="4" t="s">
        <v>13</v>
      </c>
    </row>
    <row r="10" customFormat="false" ht="15" hidden="false" customHeight="false" outlineLevel="0" collapsed="false">
      <c r="A10" s="4" t="s">
        <v>14</v>
      </c>
      <c r="B10" s="6" t="b">
        <f aca="false">TRUE()</f>
        <v>1</v>
      </c>
      <c r="C10" s="4" t="s">
        <v>15</v>
      </c>
    </row>
    <row r="11" customFormat="false" ht="15" hidden="false" customHeight="false" outlineLevel="0" collapsed="false">
      <c r="A11" s="4" t="s">
        <v>16</v>
      </c>
      <c r="B11" s="6" t="b">
        <f aca="false">TRUE()</f>
        <v>1</v>
      </c>
      <c r="C11" s="4" t="s">
        <v>17</v>
      </c>
    </row>
    <row r="12" customFormat="false" ht="15" hidden="false" customHeight="false" outlineLevel="0" collapsed="false">
      <c r="A12" s="4" t="s">
        <v>18</v>
      </c>
      <c r="B12" s="5" t="n">
        <v>30</v>
      </c>
      <c r="C12" s="4" t="s">
        <v>19</v>
      </c>
    </row>
    <row r="13" customFormat="false" ht="28.35" hidden="false" customHeight="false" outlineLevel="0" collapsed="false">
      <c r="A13" s="4" t="s">
        <v>20</v>
      </c>
      <c r="B13" s="5" t="n">
        <v>5</v>
      </c>
      <c r="C13" s="4" t="s">
        <v>21</v>
      </c>
    </row>
    <row r="16" customFormat="false" ht="15" hidden="false" customHeight="false" outlineLevel="0" collapsed="false">
      <c r="A16" s="7" t="s">
        <v>22</v>
      </c>
    </row>
    <row r="17" customFormat="false" ht="55.2" hidden="false" customHeight="false" outlineLevel="0" collapsed="false">
      <c r="A17" s="8" t="s">
        <v>23</v>
      </c>
      <c r="B17" s="4" t="s">
        <v>24</v>
      </c>
    </row>
    <row r="18" customFormat="false" ht="41.75" hidden="false" customHeight="false" outlineLevel="0" collapsed="false">
      <c r="A18" s="9" t="s">
        <v>25</v>
      </c>
      <c r="B18" s="4" t="s">
        <v>26</v>
      </c>
    </row>
    <row r="19" customFormat="false" ht="41.75" hidden="false" customHeight="false" outlineLevel="0" collapsed="false">
      <c r="A19" s="10" t="s">
        <v>27</v>
      </c>
      <c r="B19" s="4" t="s">
        <v>28</v>
      </c>
    </row>
    <row r="20" customFormat="false" ht="41.75" hidden="false" customHeight="false" outlineLevel="0" collapsed="false">
      <c r="A20" s="11" t="s">
        <v>29</v>
      </c>
      <c r="B20" s="4" t="s">
        <v>30</v>
      </c>
    </row>
    <row r="23" customFormat="false" ht="15" hidden="false" customHeight="false" outlineLevel="0" collapsed="false">
      <c r="A23" s="7" t="s">
        <v>31</v>
      </c>
    </row>
    <row r="24" customFormat="false" ht="15" hidden="false" customHeight="true" outlineLevel="0" collapsed="false">
      <c r="A24" s="12" t="s">
        <v>32</v>
      </c>
      <c r="B24" s="12"/>
      <c r="C24" s="12"/>
    </row>
    <row r="25" customFormat="false" ht="15" hidden="false" customHeight="true" outlineLevel="0" collapsed="false">
      <c r="A25" s="12" t="s">
        <v>33</v>
      </c>
      <c r="B25" s="12"/>
      <c r="C25" s="12"/>
    </row>
    <row r="26" customFormat="false" ht="28.35" hidden="false" customHeight="true" outlineLevel="0" collapsed="false">
      <c r="A26" s="12" t="s">
        <v>34</v>
      </c>
      <c r="B26" s="12"/>
      <c r="C26" s="12"/>
    </row>
    <row r="27" customFormat="false" ht="15" hidden="false" customHeight="true" outlineLevel="0" collapsed="false">
      <c r="A27" s="12" t="s">
        <v>35</v>
      </c>
      <c r="B27" s="12"/>
      <c r="C27" s="12"/>
    </row>
    <row r="28" customFormat="false" ht="28.35" hidden="false" customHeight="true" outlineLevel="0" collapsed="false">
      <c r="A28" s="12" t="s">
        <v>36</v>
      </c>
      <c r="B28" s="12"/>
      <c r="C28" s="12"/>
    </row>
    <row r="29" customFormat="false" ht="15" hidden="false" customHeight="true" outlineLevel="0" collapsed="false">
      <c r="A29" s="12" t="s">
        <v>37</v>
      </c>
      <c r="B29" s="12"/>
      <c r="C29" s="12"/>
    </row>
  </sheetData>
  <mergeCells count="7">
    <mergeCell ref="A3:C3"/>
    <mergeCell ref="A24:C24"/>
    <mergeCell ref="A25:C25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38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7"/>
  </cols>
  <sheetData>
    <row r="1" customFormat="false" ht="30" hidden="false" customHeight="true" outlineLevel="0" collapsed="false">
      <c r="A1" s="13" t="s">
        <v>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customFormat="false" ht="24" hidden="false" customHeight="true" outlineLevel="0" collapsed="false">
      <c r="A3" s="14" t="s">
        <v>39</v>
      </c>
      <c r="B3" s="15" t="n">
        <f aca="false">COUNTA(E7:E500)-1</f>
        <v>95</v>
      </c>
      <c r="C3" s="14" t="s">
        <v>40</v>
      </c>
      <c r="D3" s="15" t="n">
        <f aca="false">COUNTIF(L7:L500,TRUE())</f>
        <v>0</v>
      </c>
      <c r="E3" s="14" t="s">
        <v>41</v>
      </c>
      <c r="F3" s="16" t="n">
        <f aca="false">IF(B3=0,0,D3/B3)</f>
        <v>0</v>
      </c>
      <c r="G3" s="14" t="s">
        <v>42</v>
      </c>
      <c r="H3" s="15" t="n">
        <f aca="false">SUM(H7:H500)</f>
        <v>281</v>
      </c>
      <c r="I3" s="14" t="s">
        <v>43</v>
      </c>
      <c r="J3" s="15" t="n">
        <f aca="false">SUMIF(L7:L500,TRUE(),H7:H500)</f>
        <v>0</v>
      </c>
      <c r="K3" s="14" t="s">
        <v>44</v>
      </c>
      <c r="L3" s="17" t="n">
        <f aca="false">IF(Settings!$B$9=TRUE(),WORKDAY(Settings!$B$6-1,Settings!$B$12),Settings!$B$6+Settings!$B$12-1)</f>
        <v>46192</v>
      </c>
    </row>
    <row r="6" customFormat="false" ht="31.5" hidden="false" customHeight="true" outlineLevel="0" collapsed="false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4</v>
      </c>
      <c r="K6" s="3" t="s">
        <v>54</v>
      </c>
      <c r="L6" s="3" t="s">
        <v>55</v>
      </c>
    </row>
    <row r="7" customFormat="false" ht="42" hidden="false" customHeight="true" outlineLevel="0" collapsed="false">
      <c r="A7" s="18" t="n">
        <v>1</v>
      </c>
      <c r="B7" s="19" t="n">
        <f aca="false">IF(Settings!$B$9=TRUE(),WORKDAY(Settings!$B$6-1,A7),Settings!$B$6+A7-1)</f>
        <v>46153</v>
      </c>
      <c r="C7" s="20" t="s">
        <v>56</v>
      </c>
      <c r="D7" s="21" t="s">
        <v>29</v>
      </c>
      <c r="E7" s="22" t="s">
        <v>57</v>
      </c>
      <c r="F7" s="22" t="s">
        <v>58</v>
      </c>
      <c r="G7" s="18"/>
      <c r="H7" s="18" t="n">
        <v>4</v>
      </c>
      <c r="I7" s="23" t="b">
        <f aca="false">TRUE()</f>
        <v>1</v>
      </c>
      <c r="J7" s="22"/>
      <c r="K7" s="22"/>
      <c r="L7" s="23" t="b">
        <f aca="false">FALSE()</f>
        <v>0</v>
      </c>
    </row>
    <row r="8" customFormat="false" ht="42" hidden="false" customHeight="true" outlineLevel="0" collapsed="false">
      <c r="A8" s="18" t="n">
        <v>1</v>
      </c>
      <c r="B8" s="19" t="n">
        <f aca="false">IF(Settings!$B$9=TRUE(),WORKDAY(Settings!$B$6-1,A8),Settings!$B$6+A8-1)</f>
        <v>46153</v>
      </c>
      <c r="C8" s="20" t="s">
        <v>56</v>
      </c>
      <c r="D8" s="21" t="s">
        <v>29</v>
      </c>
      <c r="E8" s="22" t="s">
        <v>59</v>
      </c>
      <c r="F8" s="22" t="s">
        <v>60</v>
      </c>
      <c r="G8" s="18"/>
      <c r="H8" s="18" t="n">
        <v>2</v>
      </c>
      <c r="I8" s="23" t="b">
        <f aca="false">TRUE()</f>
        <v>1</v>
      </c>
      <c r="J8" s="22"/>
      <c r="K8" s="22"/>
      <c r="L8" s="23" t="b">
        <f aca="false">FALSE()</f>
        <v>0</v>
      </c>
    </row>
    <row r="9" customFormat="false" ht="42" hidden="false" customHeight="true" outlineLevel="0" collapsed="false">
      <c r="A9" s="18" t="n">
        <v>1</v>
      </c>
      <c r="B9" s="19" t="n">
        <f aca="false">IF(Settings!$B$9=TRUE(),WORKDAY(Settings!$B$6-1,A9),Settings!$B$6+A9-1)</f>
        <v>46153</v>
      </c>
      <c r="C9" s="20" t="s">
        <v>56</v>
      </c>
      <c r="D9" s="24" t="s">
        <v>25</v>
      </c>
      <c r="E9" s="22" t="s">
        <v>61</v>
      </c>
      <c r="F9" s="22" t="s">
        <v>62</v>
      </c>
      <c r="G9" s="18"/>
      <c r="H9" s="18" t="n">
        <v>2</v>
      </c>
      <c r="I9" s="23" t="b">
        <f aca="false">TRUE()</f>
        <v>1</v>
      </c>
      <c r="J9" s="22"/>
      <c r="K9" s="22"/>
      <c r="L9" s="23" t="b">
        <f aca="false">FALSE()</f>
        <v>0</v>
      </c>
    </row>
    <row r="10" customFormat="false" ht="42" hidden="false" customHeight="true" outlineLevel="0" collapsed="false">
      <c r="A10" s="18" t="n">
        <v>2</v>
      </c>
      <c r="B10" s="19" t="n">
        <f aca="false">IF(Settings!$B$9=TRUE(),WORKDAY(Settings!$B$6-1,A10),Settings!$B$6+A10-1)</f>
        <v>46154</v>
      </c>
      <c r="C10" s="20" t="s">
        <v>56</v>
      </c>
      <c r="D10" s="21" t="s">
        <v>29</v>
      </c>
      <c r="E10" s="22" t="s">
        <v>63</v>
      </c>
      <c r="F10" s="22" t="s">
        <v>64</v>
      </c>
      <c r="G10" s="18" t="s">
        <v>65</v>
      </c>
      <c r="H10" s="18" t="n">
        <v>1</v>
      </c>
      <c r="I10" s="23" t="b">
        <f aca="false">TRUE()</f>
        <v>1</v>
      </c>
      <c r="J10" s="22"/>
      <c r="K10" s="22"/>
      <c r="L10" s="23" t="b">
        <f aca="false">FALSE()</f>
        <v>0</v>
      </c>
    </row>
    <row r="11" customFormat="false" ht="42" hidden="false" customHeight="true" outlineLevel="0" collapsed="false">
      <c r="A11" s="18" t="n">
        <v>2</v>
      </c>
      <c r="B11" s="19" t="n">
        <f aca="false">IF(Settings!$B$9=TRUE(),WORKDAY(Settings!$B$6-1,A11),Settings!$B$6+A11-1)</f>
        <v>46154</v>
      </c>
      <c r="C11" s="20" t="s">
        <v>56</v>
      </c>
      <c r="D11" s="25" t="s">
        <v>23</v>
      </c>
      <c r="E11" s="22" t="s">
        <v>66</v>
      </c>
      <c r="F11" s="22" t="s">
        <v>67</v>
      </c>
      <c r="G11" s="18" t="s">
        <v>65</v>
      </c>
      <c r="H11" s="18" t="n">
        <v>3</v>
      </c>
      <c r="I11" s="23" t="b">
        <f aca="false">TRUE()</f>
        <v>1</v>
      </c>
      <c r="J11" s="22"/>
      <c r="K11" s="22"/>
      <c r="L11" s="23" t="b">
        <f aca="false">FALSE()</f>
        <v>0</v>
      </c>
    </row>
    <row r="12" customFormat="false" ht="42" hidden="false" customHeight="true" outlineLevel="0" collapsed="false">
      <c r="A12" s="18" t="n">
        <v>2</v>
      </c>
      <c r="B12" s="19" t="n">
        <f aca="false">IF(Settings!$B$9=TRUE(),WORKDAY(Settings!$B$6-1,A12),Settings!$B$6+A12-1)</f>
        <v>46154</v>
      </c>
      <c r="C12" s="20" t="s">
        <v>56</v>
      </c>
      <c r="D12" s="25" t="s">
        <v>23</v>
      </c>
      <c r="E12" s="22" t="s">
        <v>68</v>
      </c>
      <c r="F12" s="22" t="s">
        <v>69</v>
      </c>
      <c r="G12" s="18" t="s">
        <v>65</v>
      </c>
      <c r="H12" s="18" t="n">
        <v>1</v>
      </c>
      <c r="I12" s="23" t="b">
        <f aca="false">TRUE()</f>
        <v>1</v>
      </c>
      <c r="J12" s="22"/>
      <c r="K12" s="22"/>
      <c r="L12" s="23" t="b">
        <f aca="false">FALSE()</f>
        <v>0</v>
      </c>
    </row>
    <row r="13" customFormat="false" ht="42" hidden="false" customHeight="true" outlineLevel="0" collapsed="false">
      <c r="A13" s="18" t="n">
        <v>2</v>
      </c>
      <c r="B13" s="19" t="n">
        <f aca="false">IF(Settings!$B$9=TRUE(),WORKDAY(Settings!$B$6-1,A13),Settings!$B$6+A13-1)</f>
        <v>46154</v>
      </c>
      <c r="C13" s="20" t="s">
        <v>56</v>
      </c>
      <c r="D13" s="24" t="s">
        <v>25</v>
      </c>
      <c r="E13" s="22" t="s">
        <v>70</v>
      </c>
      <c r="F13" s="22" t="s">
        <v>71</v>
      </c>
      <c r="G13" s="18"/>
      <c r="H13" s="18" t="n">
        <v>1</v>
      </c>
      <c r="I13" s="23" t="b">
        <f aca="false">TRUE()</f>
        <v>1</v>
      </c>
      <c r="J13" s="22"/>
      <c r="K13" s="22"/>
      <c r="L13" s="23" t="b">
        <f aca="false">FALSE()</f>
        <v>0</v>
      </c>
    </row>
    <row r="14" customFormat="false" ht="42" hidden="false" customHeight="true" outlineLevel="0" collapsed="false">
      <c r="A14" s="18" t="n">
        <v>2</v>
      </c>
      <c r="B14" s="19" t="n">
        <f aca="false">IF(Settings!$B$9=TRUE(),WORKDAY(Settings!$B$6-1,A14),Settings!$B$6+A14-1)</f>
        <v>46154</v>
      </c>
      <c r="C14" s="20" t="s">
        <v>56</v>
      </c>
      <c r="D14" s="24" t="s">
        <v>25</v>
      </c>
      <c r="E14" s="22" t="s">
        <v>72</v>
      </c>
      <c r="F14" s="22" t="s">
        <v>73</v>
      </c>
      <c r="G14" s="18" t="s">
        <v>74</v>
      </c>
      <c r="H14" s="18" t="n">
        <v>1</v>
      </c>
      <c r="I14" s="23" t="b">
        <f aca="false">TRUE()</f>
        <v>1</v>
      </c>
      <c r="J14" s="22"/>
      <c r="K14" s="22"/>
      <c r="L14" s="23" t="b">
        <f aca="false">FALSE()</f>
        <v>0</v>
      </c>
    </row>
    <row r="15" customFormat="false" ht="42" hidden="false" customHeight="true" outlineLevel="0" collapsed="false">
      <c r="A15" s="18" t="n">
        <v>3</v>
      </c>
      <c r="B15" s="19" t="n">
        <f aca="false">IF(Settings!$B$9=TRUE(),WORKDAY(Settings!$B$6-1,A15),Settings!$B$6+A15-1)</f>
        <v>46155</v>
      </c>
      <c r="C15" s="20" t="s">
        <v>56</v>
      </c>
      <c r="D15" s="25" t="s">
        <v>23</v>
      </c>
      <c r="E15" s="22" t="s">
        <v>75</v>
      </c>
      <c r="F15" s="22" t="s">
        <v>76</v>
      </c>
      <c r="G15" s="18" t="s">
        <v>74</v>
      </c>
      <c r="H15" s="18" t="n">
        <v>5</v>
      </c>
      <c r="I15" s="23" t="b">
        <f aca="false">TRUE()</f>
        <v>1</v>
      </c>
      <c r="J15" s="22"/>
      <c r="K15" s="22"/>
      <c r="L15" s="23" t="b">
        <f aca="false">FALSE()</f>
        <v>0</v>
      </c>
    </row>
    <row r="16" customFormat="false" ht="42" hidden="false" customHeight="true" outlineLevel="0" collapsed="false">
      <c r="A16" s="18" t="n">
        <v>3</v>
      </c>
      <c r="B16" s="19" t="n">
        <f aca="false">IF(Settings!$B$9=TRUE(),WORKDAY(Settings!$B$6-1,A16),Settings!$B$6+A16-1)</f>
        <v>46155</v>
      </c>
      <c r="C16" s="20" t="s">
        <v>56</v>
      </c>
      <c r="D16" s="25" t="s">
        <v>23</v>
      </c>
      <c r="E16" s="22" t="s">
        <v>77</v>
      </c>
      <c r="F16" s="22" t="s">
        <v>78</v>
      </c>
      <c r="G16" s="18" t="s">
        <v>79</v>
      </c>
      <c r="H16" s="18" t="n">
        <v>2</v>
      </c>
      <c r="I16" s="23" t="b">
        <f aca="false">TRUE()</f>
        <v>1</v>
      </c>
      <c r="J16" s="22"/>
      <c r="K16" s="22"/>
      <c r="L16" s="23" t="b">
        <f aca="false">FALSE()</f>
        <v>0</v>
      </c>
    </row>
    <row r="17" customFormat="false" ht="42" hidden="false" customHeight="true" outlineLevel="0" collapsed="false">
      <c r="A17" s="18" t="n">
        <v>3</v>
      </c>
      <c r="B17" s="19" t="n">
        <f aca="false">IF(Settings!$B$9=TRUE(),WORKDAY(Settings!$B$6-1,A17),Settings!$B$6+A17-1)</f>
        <v>46155</v>
      </c>
      <c r="C17" s="20" t="s">
        <v>56</v>
      </c>
      <c r="D17" s="24" t="s">
        <v>25</v>
      </c>
      <c r="E17" s="22" t="s">
        <v>80</v>
      </c>
      <c r="F17" s="22" t="s">
        <v>81</v>
      </c>
      <c r="G17" s="18"/>
      <c r="H17" s="18" t="n">
        <v>1</v>
      </c>
      <c r="I17" s="23" t="b">
        <f aca="false">TRUE()</f>
        <v>1</v>
      </c>
      <c r="J17" s="22"/>
      <c r="K17" s="22"/>
      <c r="L17" s="23" t="b">
        <f aca="false">FALSE()</f>
        <v>0</v>
      </c>
    </row>
    <row r="18" customFormat="false" ht="42" hidden="false" customHeight="true" outlineLevel="0" collapsed="false">
      <c r="A18" s="18" t="n">
        <v>4</v>
      </c>
      <c r="B18" s="19" t="n">
        <f aca="false">IF(Settings!$B$9=TRUE(),WORKDAY(Settings!$B$6-1,A18),Settings!$B$6+A18-1)</f>
        <v>46156</v>
      </c>
      <c r="C18" s="20" t="s">
        <v>56</v>
      </c>
      <c r="D18" s="25" t="s">
        <v>23</v>
      </c>
      <c r="E18" s="22" t="s">
        <v>82</v>
      </c>
      <c r="F18" s="22" t="s">
        <v>83</v>
      </c>
      <c r="G18" s="18" t="s">
        <v>79</v>
      </c>
      <c r="H18" s="18" t="n">
        <v>4</v>
      </c>
      <c r="I18" s="23" t="b">
        <f aca="false">TRUE()</f>
        <v>1</v>
      </c>
      <c r="J18" s="22"/>
      <c r="K18" s="22"/>
      <c r="L18" s="23" t="b">
        <f aca="false">FALSE()</f>
        <v>0</v>
      </c>
    </row>
    <row r="19" customFormat="false" ht="42" hidden="false" customHeight="true" outlineLevel="0" collapsed="false">
      <c r="A19" s="18" t="n">
        <v>4</v>
      </c>
      <c r="B19" s="19" t="n">
        <f aca="false">IF(Settings!$B$9=TRUE(),WORKDAY(Settings!$B$6-1,A19),Settings!$B$6+A19-1)</f>
        <v>46156</v>
      </c>
      <c r="C19" s="20" t="s">
        <v>56</v>
      </c>
      <c r="D19" s="25" t="s">
        <v>23</v>
      </c>
      <c r="E19" s="22" t="s">
        <v>84</v>
      </c>
      <c r="F19" s="22" t="s">
        <v>85</v>
      </c>
      <c r="G19" s="18" t="s">
        <v>86</v>
      </c>
      <c r="H19" s="18" t="n">
        <v>3</v>
      </c>
      <c r="I19" s="23" t="b">
        <f aca="false">TRUE()</f>
        <v>1</v>
      </c>
      <c r="J19" s="22"/>
      <c r="K19" s="22"/>
      <c r="L19" s="23" t="b">
        <f aca="false">FALSE()</f>
        <v>0</v>
      </c>
    </row>
    <row r="20" customFormat="false" ht="42" hidden="false" customHeight="true" outlineLevel="0" collapsed="false">
      <c r="A20" s="18" t="n">
        <v>4</v>
      </c>
      <c r="B20" s="19" t="n">
        <f aca="false">IF(Settings!$B$9=TRUE(),WORKDAY(Settings!$B$6-1,A20),Settings!$B$6+A20-1)</f>
        <v>46156</v>
      </c>
      <c r="C20" s="20" t="s">
        <v>56</v>
      </c>
      <c r="D20" s="24" t="s">
        <v>25</v>
      </c>
      <c r="E20" s="22" t="s">
        <v>87</v>
      </c>
      <c r="F20" s="22" t="s">
        <v>88</v>
      </c>
      <c r="G20" s="18" t="s">
        <v>79</v>
      </c>
      <c r="H20" s="18" t="n">
        <v>1</v>
      </c>
      <c r="I20" s="23" t="b">
        <f aca="false">TRUE()</f>
        <v>1</v>
      </c>
      <c r="J20" s="22"/>
      <c r="K20" s="22"/>
      <c r="L20" s="23" t="b">
        <f aca="false">FALSE()</f>
        <v>0</v>
      </c>
    </row>
    <row r="21" customFormat="false" ht="42" hidden="false" customHeight="true" outlineLevel="0" collapsed="false">
      <c r="A21" s="18" t="n">
        <v>5</v>
      </c>
      <c r="B21" s="19" t="n">
        <f aca="false">IF(Settings!$B$9=TRUE(),WORKDAY(Settings!$B$6-1,A21),Settings!$B$6+A21-1)</f>
        <v>46157</v>
      </c>
      <c r="C21" s="20" t="s">
        <v>56</v>
      </c>
      <c r="D21" s="25" t="s">
        <v>23</v>
      </c>
      <c r="E21" s="22" t="s">
        <v>89</v>
      </c>
      <c r="F21" s="22" t="s">
        <v>90</v>
      </c>
      <c r="G21" s="18" t="s">
        <v>86</v>
      </c>
      <c r="H21" s="18" t="n">
        <v>5</v>
      </c>
      <c r="I21" s="23" t="b">
        <f aca="false">TRUE()</f>
        <v>1</v>
      </c>
      <c r="J21" s="22"/>
      <c r="K21" s="22"/>
      <c r="L21" s="23" t="b">
        <f aca="false">FALSE()</f>
        <v>0</v>
      </c>
    </row>
    <row r="22" customFormat="false" ht="42" hidden="false" customHeight="true" outlineLevel="0" collapsed="false">
      <c r="A22" s="18" t="n">
        <v>5</v>
      </c>
      <c r="B22" s="19" t="n">
        <f aca="false">IF(Settings!$B$9=TRUE(),WORKDAY(Settings!$B$6-1,A22),Settings!$B$6+A22-1)</f>
        <v>46157</v>
      </c>
      <c r="C22" s="20" t="s">
        <v>56</v>
      </c>
      <c r="D22" s="25" t="s">
        <v>23</v>
      </c>
      <c r="E22" s="22" t="s">
        <v>91</v>
      </c>
      <c r="F22" s="22" t="s">
        <v>92</v>
      </c>
      <c r="G22" s="18" t="s">
        <v>86</v>
      </c>
      <c r="H22" s="18" t="n">
        <v>2</v>
      </c>
      <c r="I22" s="23" t="b">
        <f aca="false">TRUE()</f>
        <v>1</v>
      </c>
      <c r="J22" s="22"/>
      <c r="K22" s="22"/>
      <c r="L22" s="23" t="b">
        <f aca="false">FALSE()</f>
        <v>0</v>
      </c>
    </row>
    <row r="23" customFormat="false" ht="42" hidden="false" customHeight="true" outlineLevel="0" collapsed="false">
      <c r="A23" s="18" t="n">
        <v>5</v>
      </c>
      <c r="B23" s="19" t="n">
        <f aca="false">IF(Settings!$B$9=TRUE(),WORKDAY(Settings!$B$6-1,A23),Settings!$B$6+A23-1)</f>
        <v>46157</v>
      </c>
      <c r="C23" s="20" t="s">
        <v>56</v>
      </c>
      <c r="D23" s="24" t="s">
        <v>25</v>
      </c>
      <c r="E23" s="22" t="s">
        <v>93</v>
      </c>
      <c r="F23" s="22" t="s">
        <v>94</v>
      </c>
      <c r="G23" s="18"/>
      <c r="H23" s="18" t="n">
        <v>1</v>
      </c>
      <c r="I23" s="23" t="b">
        <f aca="false">TRUE()</f>
        <v>1</v>
      </c>
      <c r="J23" s="22"/>
      <c r="K23" s="22"/>
      <c r="L23" s="23" t="b">
        <f aca="false">FALSE()</f>
        <v>0</v>
      </c>
    </row>
    <row r="24" customFormat="false" ht="42" hidden="false" customHeight="true" outlineLevel="0" collapsed="false">
      <c r="A24" s="18" t="n">
        <v>6</v>
      </c>
      <c r="B24" s="19" t="n">
        <f aca="false">IF(Settings!$B$9=TRUE(),WORKDAY(Settings!$B$6-1,A24),Settings!$B$6+A24-1)</f>
        <v>46160</v>
      </c>
      <c r="C24" s="20" t="s">
        <v>56</v>
      </c>
      <c r="D24" s="21" t="s">
        <v>29</v>
      </c>
      <c r="E24" s="22" t="s">
        <v>95</v>
      </c>
      <c r="F24" s="22" t="s">
        <v>96</v>
      </c>
      <c r="G24" s="18"/>
      <c r="H24" s="18" t="n">
        <v>2</v>
      </c>
      <c r="I24" s="23" t="b">
        <f aca="false">TRUE()</f>
        <v>1</v>
      </c>
      <c r="J24" s="22"/>
      <c r="K24" s="22"/>
      <c r="L24" s="23" t="b">
        <f aca="false">FALSE()</f>
        <v>0</v>
      </c>
    </row>
    <row r="25" customFormat="false" ht="42" hidden="false" customHeight="true" outlineLevel="0" collapsed="false">
      <c r="A25" s="18" t="n">
        <v>6</v>
      </c>
      <c r="B25" s="19" t="n">
        <f aca="false">IF(Settings!$B$9=TRUE(),WORKDAY(Settings!$B$6-1,A25),Settings!$B$6+A25-1)</f>
        <v>46160</v>
      </c>
      <c r="C25" s="20" t="s">
        <v>56</v>
      </c>
      <c r="D25" s="25" t="s">
        <v>23</v>
      </c>
      <c r="E25" s="22" t="s">
        <v>97</v>
      </c>
      <c r="F25" s="22" t="s">
        <v>98</v>
      </c>
      <c r="G25" s="18" t="s">
        <v>99</v>
      </c>
      <c r="H25" s="18" t="n">
        <v>2</v>
      </c>
      <c r="I25" s="23" t="b">
        <f aca="false">TRUE()</f>
        <v>1</v>
      </c>
      <c r="J25" s="22"/>
      <c r="K25" s="22"/>
      <c r="L25" s="23" t="b">
        <f aca="false">FALSE()</f>
        <v>0</v>
      </c>
    </row>
    <row r="26" customFormat="false" ht="42" hidden="false" customHeight="true" outlineLevel="0" collapsed="false">
      <c r="A26" s="18" t="n">
        <v>6</v>
      </c>
      <c r="B26" s="19" t="n">
        <f aca="false">IF(Settings!$B$9=TRUE(),WORKDAY(Settings!$B$6-1,A26),Settings!$B$6+A26-1)</f>
        <v>46160</v>
      </c>
      <c r="C26" s="20" t="s">
        <v>56</v>
      </c>
      <c r="D26" s="25" t="s">
        <v>23</v>
      </c>
      <c r="E26" s="22" t="s">
        <v>100</v>
      </c>
      <c r="F26" s="22" t="s">
        <v>101</v>
      </c>
      <c r="G26" s="18" t="s">
        <v>99</v>
      </c>
      <c r="H26" s="18" t="n">
        <v>1</v>
      </c>
      <c r="I26" s="23" t="b">
        <f aca="false">TRUE()</f>
        <v>1</v>
      </c>
      <c r="J26" s="22"/>
      <c r="K26" s="22"/>
      <c r="L26" s="23" t="b">
        <f aca="false">FALSE()</f>
        <v>0</v>
      </c>
    </row>
    <row r="27" customFormat="false" ht="42" hidden="false" customHeight="true" outlineLevel="0" collapsed="false">
      <c r="A27" s="18" t="n">
        <v>6</v>
      </c>
      <c r="B27" s="19" t="n">
        <f aca="false">IF(Settings!$B$9=TRUE(),WORKDAY(Settings!$B$6-1,A27),Settings!$B$6+A27-1)</f>
        <v>46160</v>
      </c>
      <c r="C27" s="20" t="s">
        <v>56</v>
      </c>
      <c r="D27" s="24" t="s">
        <v>25</v>
      </c>
      <c r="E27" s="22" t="s">
        <v>102</v>
      </c>
      <c r="F27" s="22" t="s">
        <v>103</v>
      </c>
      <c r="G27" s="18" t="s">
        <v>99</v>
      </c>
      <c r="H27" s="18" t="n">
        <v>2</v>
      </c>
      <c r="I27" s="23" t="b">
        <f aca="false">TRUE()</f>
        <v>1</v>
      </c>
      <c r="J27" s="22"/>
      <c r="K27" s="22"/>
      <c r="L27" s="23" t="b">
        <f aca="false">FALSE()</f>
        <v>0</v>
      </c>
    </row>
    <row r="28" customFormat="false" ht="42" hidden="false" customHeight="true" outlineLevel="0" collapsed="false">
      <c r="A28" s="18" t="n">
        <v>6</v>
      </c>
      <c r="B28" s="19" t="n">
        <f aca="false">IF(Settings!$B$9=TRUE(),WORKDAY(Settings!$B$6-1,A28),Settings!$B$6+A28-1)</f>
        <v>46160</v>
      </c>
      <c r="C28" s="20" t="s">
        <v>56</v>
      </c>
      <c r="D28" s="24" t="s">
        <v>25</v>
      </c>
      <c r="E28" s="22" t="s">
        <v>104</v>
      </c>
      <c r="F28" s="22" t="s">
        <v>105</v>
      </c>
      <c r="G28" s="18" t="s">
        <v>106</v>
      </c>
      <c r="H28" s="18" t="n">
        <v>1</v>
      </c>
      <c r="I28" s="23" t="b">
        <f aca="false">TRUE()</f>
        <v>1</v>
      </c>
      <c r="J28" s="22"/>
      <c r="K28" s="22"/>
      <c r="L28" s="23" t="b">
        <f aca="false">FALSE()</f>
        <v>0</v>
      </c>
    </row>
    <row r="29" customFormat="false" ht="42" hidden="false" customHeight="true" outlineLevel="0" collapsed="false">
      <c r="A29" s="18" t="n">
        <v>7</v>
      </c>
      <c r="B29" s="19" t="n">
        <f aca="false">IF(Settings!$B$9=TRUE(),WORKDAY(Settings!$B$6-1,A29),Settings!$B$6+A29-1)</f>
        <v>46161</v>
      </c>
      <c r="C29" s="20" t="s">
        <v>56</v>
      </c>
      <c r="D29" s="25" t="s">
        <v>23</v>
      </c>
      <c r="E29" s="22" t="s">
        <v>107</v>
      </c>
      <c r="F29" s="22" t="s">
        <v>108</v>
      </c>
      <c r="G29" s="18"/>
      <c r="H29" s="18" t="n">
        <v>6</v>
      </c>
      <c r="I29" s="23" t="b">
        <f aca="false">TRUE()</f>
        <v>1</v>
      </c>
      <c r="J29" s="22"/>
      <c r="K29" s="22"/>
      <c r="L29" s="23" t="b">
        <f aca="false">FALSE()</f>
        <v>0</v>
      </c>
    </row>
    <row r="30" customFormat="false" ht="42" hidden="false" customHeight="true" outlineLevel="0" collapsed="false">
      <c r="A30" s="18" t="n">
        <v>7</v>
      </c>
      <c r="B30" s="19" t="n">
        <f aca="false">IF(Settings!$B$9=TRUE(),WORKDAY(Settings!$B$6-1,A30),Settings!$B$6+A30-1)</f>
        <v>46161</v>
      </c>
      <c r="C30" s="20" t="s">
        <v>56</v>
      </c>
      <c r="D30" s="24" t="s">
        <v>25</v>
      </c>
      <c r="E30" s="22" t="s">
        <v>109</v>
      </c>
      <c r="F30" s="22" t="s">
        <v>110</v>
      </c>
      <c r="G30" s="18" t="s">
        <v>106</v>
      </c>
      <c r="H30" s="18" t="n">
        <v>2</v>
      </c>
      <c r="I30" s="23" t="b">
        <f aca="false">TRUE()</f>
        <v>1</v>
      </c>
      <c r="J30" s="22"/>
      <c r="K30" s="22"/>
      <c r="L30" s="23" t="b">
        <f aca="false">FALSE()</f>
        <v>0</v>
      </c>
    </row>
    <row r="31" customFormat="false" ht="42" hidden="false" customHeight="true" outlineLevel="0" collapsed="false">
      <c r="A31" s="18" t="n">
        <v>8</v>
      </c>
      <c r="B31" s="19" t="n">
        <f aca="false">IF(Settings!$B$9=TRUE(),WORKDAY(Settings!$B$6-1,A31),Settings!$B$6+A31-1)</f>
        <v>46162</v>
      </c>
      <c r="C31" s="26" t="s">
        <v>111</v>
      </c>
      <c r="D31" s="25" t="s">
        <v>23</v>
      </c>
      <c r="E31" s="22" t="s">
        <v>112</v>
      </c>
      <c r="F31" s="22" t="s">
        <v>113</v>
      </c>
      <c r="G31" s="18" t="s">
        <v>114</v>
      </c>
      <c r="H31" s="18" t="n">
        <v>6</v>
      </c>
      <c r="I31" s="23" t="b">
        <f aca="false">TRUE()</f>
        <v>1</v>
      </c>
      <c r="J31" s="22"/>
      <c r="K31" s="22"/>
      <c r="L31" s="23" t="b">
        <f aca="false">FALSE()</f>
        <v>0</v>
      </c>
    </row>
    <row r="32" customFormat="false" ht="42" hidden="false" customHeight="true" outlineLevel="0" collapsed="false">
      <c r="A32" s="18" t="n">
        <v>8</v>
      </c>
      <c r="B32" s="19" t="n">
        <f aca="false">IF(Settings!$B$9=TRUE(),WORKDAY(Settings!$B$6-1,A32),Settings!$B$6+A32-1)</f>
        <v>46162</v>
      </c>
      <c r="C32" s="26" t="s">
        <v>111</v>
      </c>
      <c r="D32" s="25" t="s">
        <v>23</v>
      </c>
      <c r="E32" s="22" t="s">
        <v>115</v>
      </c>
      <c r="F32" s="22" t="s">
        <v>116</v>
      </c>
      <c r="G32" s="18" t="s">
        <v>117</v>
      </c>
      <c r="H32" s="18" t="n">
        <v>2</v>
      </c>
      <c r="I32" s="23" t="b">
        <f aca="false">TRUE()</f>
        <v>1</v>
      </c>
      <c r="J32" s="22"/>
      <c r="K32" s="22"/>
      <c r="L32" s="23" t="b">
        <f aca="false">FALSE()</f>
        <v>0</v>
      </c>
    </row>
    <row r="33" customFormat="false" ht="42" hidden="false" customHeight="true" outlineLevel="0" collapsed="false">
      <c r="A33" s="18" t="n">
        <v>9</v>
      </c>
      <c r="B33" s="19" t="n">
        <f aca="false">IF(Settings!$B$9=TRUE(),WORKDAY(Settings!$B$6-1,A33),Settings!$B$6+A33-1)</f>
        <v>46163</v>
      </c>
      <c r="C33" s="26" t="s">
        <v>111</v>
      </c>
      <c r="D33" s="25" t="s">
        <v>23</v>
      </c>
      <c r="E33" s="22" t="s">
        <v>118</v>
      </c>
      <c r="F33" s="22" t="s">
        <v>119</v>
      </c>
      <c r="G33" s="18" t="s">
        <v>117</v>
      </c>
      <c r="H33" s="18" t="n">
        <v>3</v>
      </c>
      <c r="I33" s="23" t="b">
        <f aca="false">TRUE()</f>
        <v>1</v>
      </c>
      <c r="J33" s="22"/>
      <c r="K33" s="22"/>
      <c r="L33" s="23" t="b">
        <f aca="false">FALSE()</f>
        <v>0</v>
      </c>
    </row>
    <row r="34" customFormat="false" ht="42" hidden="false" customHeight="true" outlineLevel="0" collapsed="false">
      <c r="A34" s="18" t="n">
        <v>9</v>
      </c>
      <c r="B34" s="19" t="n">
        <f aca="false">IF(Settings!$B$9=TRUE(),WORKDAY(Settings!$B$6-1,A34),Settings!$B$6+A34-1)</f>
        <v>46163</v>
      </c>
      <c r="C34" s="26" t="s">
        <v>111</v>
      </c>
      <c r="D34" s="25" t="s">
        <v>23</v>
      </c>
      <c r="E34" s="22" t="s">
        <v>120</v>
      </c>
      <c r="F34" s="22" t="s">
        <v>121</v>
      </c>
      <c r="G34" s="18" t="s">
        <v>122</v>
      </c>
      <c r="H34" s="18" t="n">
        <v>2</v>
      </c>
      <c r="I34" s="23" t="b">
        <f aca="false">TRUE()</f>
        <v>1</v>
      </c>
      <c r="J34" s="22"/>
      <c r="K34" s="22"/>
      <c r="L34" s="23" t="b">
        <f aca="false">FALSE()</f>
        <v>0</v>
      </c>
    </row>
    <row r="35" customFormat="false" ht="42" hidden="false" customHeight="true" outlineLevel="0" collapsed="false">
      <c r="A35" s="18" t="n">
        <v>9</v>
      </c>
      <c r="B35" s="19" t="n">
        <f aca="false">IF(Settings!$B$9=TRUE(),WORKDAY(Settings!$B$6-1,A35),Settings!$B$6+A35-1)</f>
        <v>46163</v>
      </c>
      <c r="C35" s="26" t="s">
        <v>111</v>
      </c>
      <c r="D35" s="25" t="s">
        <v>23</v>
      </c>
      <c r="E35" s="22" t="s">
        <v>123</v>
      </c>
      <c r="F35" s="22" t="s">
        <v>124</v>
      </c>
      <c r="G35" s="18" t="s">
        <v>125</v>
      </c>
      <c r="H35" s="18" t="n">
        <v>3</v>
      </c>
      <c r="I35" s="23" t="b">
        <f aca="false">TRUE()</f>
        <v>1</v>
      </c>
      <c r="J35" s="22"/>
      <c r="K35" s="22"/>
      <c r="L35" s="23" t="b">
        <f aca="false">FALSE()</f>
        <v>0</v>
      </c>
    </row>
    <row r="36" customFormat="false" ht="42" hidden="false" customHeight="true" outlineLevel="0" collapsed="false">
      <c r="A36" s="18" t="n">
        <v>10</v>
      </c>
      <c r="B36" s="19" t="n">
        <f aca="false">IF(Settings!$B$9=TRUE(),WORKDAY(Settings!$B$6-1,A36),Settings!$B$6+A36-1)</f>
        <v>46164</v>
      </c>
      <c r="C36" s="26" t="s">
        <v>111</v>
      </c>
      <c r="D36" s="25" t="s">
        <v>23</v>
      </c>
      <c r="E36" s="22" t="s">
        <v>126</v>
      </c>
      <c r="F36" s="22" t="s">
        <v>127</v>
      </c>
      <c r="G36" s="18" t="s">
        <v>128</v>
      </c>
      <c r="H36" s="18" t="n">
        <v>3</v>
      </c>
      <c r="I36" s="23" t="b">
        <f aca="false">TRUE()</f>
        <v>1</v>
      </c>
      <c r="J36" s="22"/>
      <c r="K36" s="22"/>
      <c r="L36" s="23" t="b">
        <f aca="false">FALSE()</f>
        <v>0</v>
      </c>
    </row>
    <row r="37" customFormat="false" ht="42" hidden="false" customHeight="true" outlineLevel="0" collapsed="false">
      <c r="A37" s="18" t="n">
        <v>10</v>
      </c>
      <c r="B37" s="19" t="n">
        <f aca="false">IF(Settings!$B$9=TRUE(),WORKDAY(Settings!$B$6-1,A37),Settings!$B$6+A37-1)</f>
        <v>46164</v>
      </c>
      <c r="C37" s="26" t="s">
        <v>111</v>
      </c>
      <c r="D37" s="25" t="s">
        <v>23</v>
      </c>
      <c r="E37" s="22" t="s">
        <v>129</v>
      </c>
      <c r="F37" s="22" t="s">
        <v>130</v>
      </c>
      <c r="G37" s="18" t="s">
        <v>131</v>
      </c>
      <c r="H37" s="18" t="n">
        <v>2</v>
      </c>
      <c r="I37" s="23" t="b">
        <f aca="false">TRUE()</f>
        <v>1</v>
      </c>
      <c r="J37" s="22"/>
      <c r="K37" s="22"/>
      <c r="L37" s="23" t="b">
        <f aca="false">FALSE()</f>
        <v>0</v>
      </c>
    </row>
    <row r="38" customFormat="false" ht="42" hidden="false" customHeight="true" outlineLevel="0" collapsed="false">
      <c r="A38" s="18" t="n">
        <v>10</v>
      </c>
      <c r="B38" s="19" t="n">
        <f aca="false">IF(Settings!$B$9=TRUE(),WORKDAY(Settings!$B$6-1,A38),Settings!$B$6+A38-1)</f>
        <v>46164</v>
      </c>
      <c r="C38" s="26" t="s">
        <v>111</v>
      </c>
      <c r="D38" s="25" t="s">
        <v>23</v>
      </c>
      <c r="E38" s="22" t="s">
        <v>132</v>
      </c>
      <c r="F38" s="22" t="s">
        <v>133</v>
      </c>
      <c r="G38" s="18" t="s">
        <v>131</v>
      </c>
      <c r="H38" s="18" t="n">
        <v>1</v>
      </c>
      <c r="I38" s="23" t="b">
        <f aca="false">TRUE()</f>
        <v>1</v>
      </c>
      <c r="J38" s="22"/>
      <c r="K38" s="22"/>
      <c r="L38" s="23" t="b">
        <f aca="false">FALSE()</f>
        <v>0</v>
      </c>
    </row>
    <row r="39" customFormat="false" ht="42" hidden="false" customHeight="true" outlineLevel="0" collapsed="false">
      <c r="A39" s="18" t="n">
        <v>10</v>
      </c>
      <c r="B39" s="19" t="n">
        <f aca="false">IF(Settings!$B$9=TRUE(),WORKDAY(Settings!$B$6-1,A39),Settings!$B$6+A39-1)</f>
        <v>46164</v>
      </c>
      <c r="C39" s="26" t="s">
        <v>111</v>
      </c>
      <c r="D39" s="24" t="s">
        <v>25</v>
      </c>
      <c r="E39" s="22" t="s">
        <v>134</v>
      </c>
      <c r="F39" s="22" t="s">
        <v>135</v>
      </c>
      <c r="G39" s="18"/>
      <c r="H39" s="18" t="n">
        <v>1</v>
      </c>
      <c r="I39" s="23" t="b">
        <f aca="false">TRUE()</f>
        <v>1</v>
      </c>
      <c r="J39" s="22"/>
      <c r="K39" s="22"/>
      <c r="L39" s="23" t="b">
        <f aca="false">FALSE()</f>
        <v>0</v>
      </c>
    </row>
    <row r="40" customFormat="false" ht="42" hidden="false" customHeight="true" outlineLevel="0" collapsed="false">
      <c r="A40" s="18" t="n">
        <v>11</v>
      </c>
      <c r="B40" s="19" t="n">
        <f aca="false">IF(Settings!$B$9=TRUE(),WORKDAY(Settings!$B$6-1,A40),Settings!$B$6+A40-1)</f>
        <v>46167</v>
      </c>
      <c r="C40" s="26" t="s">
        <v>111</v>
      </c>
      <c r="D40" s="25" t="s">
        <v>23</v>
      </c>
      <c r="E40" s="22" t="s">
        <v>136</v>
      </c>
      <c r="F40" s="22" t="s">
        <v>137</v>
      </c>
      <c r="G40" s="18" t="s">
        <v>125</v>
      </c>
      <c r="H40" s="18" t="n">
        <v>3</v>
      </c>
      <c r="I40" s="23" t="b">
        <f aca="false">TRUE()</f>
        <v>1</v>
      </c>
      <c r="J40" s="22"/>
      <c r="K40" s="22"/>
      <c r="L40" s="23" t="b">
        <f aca="false">FALSE()</f>
        <v>0</v>
      </c>
    </row>
    <row r="41" customFormat="false" ht="42" hidden="false" customHeight="true" outlineLevel="0" collapsed="false">
      <c r="A41" s="18" t="n">
        <v>11</v>
      </c>
      <c r="B41" s="19" t="n">
        <f aca="false">IF(Settings!$B$9=TRUE(),WORKDAY(Settings!$B$6-1,A41),Settings!$B$6+A41-1)</f>
        <v>46167</v>
      </c>
      <c r="C41" s="26" t="s">
        <v>111</v>
      </c>
      <c r="D41" s="25" t="s">
        <v>23</v>
      </c>
      <c r="E41" s="22" t="s">
        <v>138</v>
      </c>
      <c r="F41" s="22" t="s">
        <v>139</v>
      </c>
      <c r="G41" s="18" t="s">
        <v>140</v>
      </c>
      <c r="H41" s="18" t="n">
        <v>4</v>
      </c>
      <c r="I41" s="23" t="b">
        <f aca="false">TRUE()</f>
        <v>1</v>
      </c>
      <c r="J41" s="22"/>
      <c r="K41" s="22"/>
      <c r="L41" s="23" t="b">
        <f aca="false">FALSE()</f>
        <v>0</v>
      </c>
    </row>
    <row r="42" customFormat="false" ht="42" hidden="false" customHeight="true" outlineLevel="0" collapsed="false">
      <c r="A42" s="18" t="n">
        <v>12</v>
      </c>
      <c r="B42" s="19" t="n">
        <f aca="false">IF(Settings!$B$9=TRUE(),WORKDAY(Settings!$B$6-1,A42),Settings!$B$6+A42-1)</f>
        <v>46168</v>
      </c>
      <c r="C42" s="26" t="s">
        <v>111</v>
      </c>
      <c r="D42" s="25" t="s">
        <v>23</v>
      </c>
      <c r="E42" s="22" t="s">
        <v>141</v>
      </c>
      <c r="F42" s="22" t="s">
        <v>142</v>
      </c>
      <c r="G42" s="18" t="s">
        <v>128</v>
      </c>
      <c r="H42" s="18" t="n">
        <v>4</v>
      </c>
      <c r="I42" s="23" t="b">
        <f aca="false">TRUE()</f>
        <v>1</v>
      </c>
      <c r="J42" s="22"/>
      <c r="K42" s="22"/>
      <c r="L42" s="23" t="b">
        <f aca="false">FALSE()</f>
        <v>0</v>
      </c>
    </row>
    <row r="43" customFormat="false" ht="42" hidden="false" customHeight="true" outlineLevel="0" collapsed="false">
      <c r="A43" s="18" t="n">
        <v>12</v>
      </c>
      <c r="B43" s="19" t="n">
        <f aca="false">IF(Settings!$B$9=TRUE(),WORKDAY(Settings!$B$6-1,A43),Settings!$B$6+A43-1)</f>
        <v>46168</v>
      </c>
      <c r="C43" s="26" t="s">
        <v>111</v>
      </c>
      <c r="D43" s="25" t="s">
        <v>23</v>
      </c>
      <c r="E43" s="22" t="s">
        <v>143</v>
      </c>
      <c r="F43" s="22" t="s">
        <v>144</v>
      </c>
      <c r="G43" s="18" t="s">
        <v>145</v>
      </c>
      <c r="H43" s="18" t="n">
        <v>3</v>
      </c>
      <c r="I43" s="23" t="b">
        <f aca="false">TRUE()</f>
        <v>1</v>
      </c>
      <c r="J43" s="22"/>
      <c r="K43" s="22"/>
      <c r="L43" s="23" t="b">
        <f aca="false">FALSE()</f>
        <v>0</v>
      </c>
    </row>
    <row r="44" customFormat="false" ht="42" hidden="false" customHeight="true" outlineLevel="0" collapsed="false">
      <c r="A44" s="18" t="n">
        <v>12</v>
      </c>
      <c r="B44" s="19" t="n">
        <f aca="false">IF(Settings!$B$9=TRUE(),WORKDAY(Settings!$B$6-1,A44),Settings!$B$6+A44-1)</f>
        <v>46168</v>
      </c>
      <c r="C44" s="26" t="s">
        <v>111</v>
      </c>
      <c r="D44" s="25" t="s">
        <v>23</v>
      </c>
      <c r="E44" s="22" t="s">
        <v>146</v>
      </c>
      <c r="F44" s="22" t="s">
        <v>147</v>
      </c>
      <c r="G44" s="18" t="s">
        <v>145</v>
      </c>
      <c r="H44" s="18" t="n">
        <v>1</v>
      </c>
      <c r="I44" s="23" t="b">
        <f aca="false">TRUE()</f>
        <v>1</v>
      </c>
      <c r="J44" s="22"/>
      <c r="K44" s="22"/>
      <c r="L44" s="23" t="b">
        <f aca="false">FALSE()</f>
        <v>0</v>
      </c>
    </row>
    <row r="45" customFormat="false" ht="42" hidden="false" customHeight="true" outlineLevel="0" collapsed="false">
      <c r="A45" s="18" t="n">
        <v>13</v>
      </c>
      <c r="B45" s="19" t="n">
        <f aca="false">IF(Settings!$B$9=TRUE(),WORKDAY(Settings!$B$6-1,A45),Settings!$B$6+A45-1)</f>
        <v>46169</v>
      </c>
      <c r="C45" s="26" t="s">
        <v>111</v>
      </c>
      <c r="D45" s="25" t="s">
        <v>23</v>
      </c>
      <c r="E45" s="22" t="s">
        <v>148</v>
      </c>
      <c r="F45" s="22" t="s">
        <v>149</v>
      </c>
      <c r="G45" s="18" t="s">
        <v>128</v>
      </c>
      <c r="H45" s="18" t="n">
        <v>3</v>
      </c>
      <c r="I45" s="23" t="b">
        <f aca="false">TRUE()</f>
        <v>1</v>
      </c>
      <c r="J45" s="22"/>
      <c r="K45" s="22"/>
      <c r="L45" s="23" t="b">
        <f aca="false">FALSE()</f>
        <v>0</v>
      </c>
    </row>
    <row r="46" customFormat="false" ht="42" hidden="false" customHeight="true" outlineLevel="0" collapsed="false">
      <c r="A46" s="18" t="n">
        <v>13</v>
      </c>
      <c r="B46" s="19" t="n">
        <f aca="false">IF(Settings!$B$9=TRUE(),WORKDAY(Settings!$B$6-1,A46),Settings!$B$6+A46-1)</f>
        <v>46169</v>
      </c>
      <c r="C46" s="26" t="s">
        <v>111</v>
      </c>
      <c r="D46" s="25" t="s">
        <v>23</v>
      </c>
      <c r="E46" s="22" t="s">
        <v>150</v>
      </c>
      <c r="F46" s="22" t="s">
        <v>151</v>
      </c>
      <c r="G46" s="18" t="s">
        <v>152</v>
      </c>
      <c r="H46" s="18" t="n">
        <v>3</v>
      </c>
      <c r="I46" s="23" t="b">
        <f aca="false">TRUE()</f>
        <v>1</v>
      </c>
      <c r="J46" s="22"/>
      <c r="K46" s="22"/>
      <c r="L46" s="23" t="b">
        <f aca="false">FALSE()</f>
        <v>0</v>
      </c>
    </row>
    <row r="47" customFormat="false" ht="42" hidden="false" customHeight="true" outlineLevel="0" collapsed="false">
      <c r="A47" s="18" t="n">
        <v>13</v>
      </c>
      <c r="B47" s="19" t="n">
        <f aca="false">IF(Settings!$B$9=TRUE(),WORKDAY(Settings!$B$6-1,A47),Settings!$B$6+A47-1)</f>
        <v>46169</v>
      </c>
      <c r="C47" s="26" t="s">
        <v>111</v>
      </c>
      <c r="D47" s="25" t="s">
        <v>23</v>
      </c>
      <c r="E47" s="22" t="s">
        <v>153</v>
      </c>
      <c r="F47" s="22" t="s">
        <v>154</v>
      </c>
      <c r="G47" s="18" t="s">
        <v>155</v>
      </c>
      <c r="H47" s="18" t="n">
        <v>2</v>
      </c>
      <c r="I47" s="23" t="b">
        <f aca="false">TRUE()</f>
        <v>1</v>
      </c>
      <c r="J47" s="22"/>
      <c r="K47" s="22"/>
      <c r="L47" s="23" t="b">
        <f aca="false">FALSE()</f>
        <v>0</v>
      </c>
    </row>
    <row r="48" customFormat="false" ht="42" hidden="false" customHeight="true" outlineLevel="0" collapsed="false">
      <c r="A48" s="18" t="n">
        <v>14</v>
      </c>
      <c r="B48" s="19" t="n">
        <f aca="false">IF(Settings!$B$9=TRUE(),WORKDAY(Settings!$B$6-1,A48),Settings!$B$6+A48-1)</f>
        <v>46170</v>
      </c>
      <c r="C48" s="26" t="s">
        <v>111</v>
      </c>
      <c r="D48" s="25" t="s">
        <v>23</v>
      </c>
      <c r="E48" s="22" t="s">
        <v>156</v>
      </c>
      <c r="F48" s="22" t="s">
        <v>157</v>
      </c>
      <c r="G48" s="18" t="s">
        <v>158</v>
      </c>
      <c r="H48" s="18" t="n">
        <v>4</v>
      </c>
      <c r="I48" s="23" t="b">
        <f aca="false">TRUE()</f>
        <v>1</v>
      </c>
      <c r="J48" s="22"/>
      <c r="K48" s="22"/>
      <c r="L48" s="23" t="b">
        <f aca="false">FALSE()</f>
        <v>0</v>
      </c>
    </row>
    <row r="49" customFormat="false" ht="42" hidden="false" customHeight="true" outlineLevel="0" collapsed="false">
      <c r="A49" s="18" t="n">
        <v>14</v>
      </c>
      <c r="B49" s="19" t="n">
        <f aca="false">IF(Settings!$B$9=TRUE(),WORKDAY(Settings!$B$6-1,A49),Settings!$B$6+A49-1)</f>
        <v>46170</v>
      </c>
      <c r="C49" s="26" t="s">
        <v>111</v>
      </c>
      <c r="D49" s="25" t="s">
        <v>23</v>
      </c>
      <c r="E49" s="22" t="s">
        <v>159</v>
      </c>
      <c r="F49" s="22" t="s">
        <v>160</v>
      </c>
      <c r="G49" s="18" t="s">
        <v>161</v>
      </c>
      <c r="H49" s="18" t="n">
        <v>3</v>
      </c>
      <c r="I49" s="23" t="b">
        <f aca="false">TRUE()</f>
        <v>1</v>
      </c>
      <c r="J49" s="22"/>
      <c r="K49" s="22"/>
      <c r="L49" s="23" t="b">
        <f aca="false">FALSE()</f>
        <v>0</v>
      </c>
    </row>
    <row r="50" customFormat="false" ht="42" hidden="false" customHeight="true" outlineLevel="0" collapsed="false">
      <c r="A50" s="18" t="n">
        <v>14</v>
      </c>
      <c r="B50" s="19" t="n">
        <f aca="false">IF(Settings!$B$9=TRUE(),WORKDAY(Settings!$B$6-1,A50),Settings!$B$6+A50-1)</f>
        <v>46170</v>
      </c>
      <c r="C50" s="26" t="s">
        <v>111</v>
      </c>
      <c r="D50" s="24" t="s">
        <v>25</v>
      </c>
      <c r="E50" s="22" t="s">
        <v>162</v>
      </c>
      <c r="F50" s="22" t="s">
        <v>163</v>
      </c>
      <c r="G50" s="18"/>
      <c r="H50" s="18" t="n">
        <v>1</v>
      </c>
      <c r="I50" s="23" t="b">
        <f aca="false">TRUE()</f>
        <v>1</v>
      </c>
      <c r="J50" s="22"/>
      <c r="K50" s="22"/>
      <c r="L50" s="23" t="b">
        <f aca="false">FALSE()</f>
        <v>0</v>
      </c>
    </row>
    <row r="51" customFormat="false" ht="42" hidden="false" customHeight="true" outlineLevel="0" collapsed="false">
      <c r="A51" s="18" t="n">
        <v>15</v>
      </c>
      <c r="B51" s="19" t="n">
        <f aca="false">IF(Settings!$B$9=TRUE(),WORKDAY(Settings!$B$6-1,A51),Settings!$B$6+A51-1)</f>
        <v>46171</v>
      </c>
      <c r="C51" s="26" t="s">
        <v>111</v>
      </c>
      <c r="D51" s="27" t="s">
        <v>27</v>
      </c>
      <c r="E51" s="22" t="s">
        <v>164</v>
      </c>
      <c r="F51" s="22" t="s">
        <v>165</v>
      </c>
      <c r="G51" s="18" t="s">
        <v>166</v>
      </c>
      <c r="H51" s="18" t="n">
        <v>5</v>
      </c>
      <c r="I51" s="23" t="b">
        <f aca="false">TRUE()</f>
        <v>1</v>
      </c>
      <c r="J51" s="22"/>
      <c r="K51" s="22"/>
      <c r="L51" s="23" t="b">
        <f aca="false">FALSE()</f>
        <v>0</v>
      </c>
    </row>
    <row r="52" customFormat="false" ht="42" hidden="false" customHeight="true" outlineLevel="0" collapsed="false">
      <c r="A52" s="18" t="n">
        <v>15</v>
      </c>
      <c r="B52" s="19" t="n">
        <f aca="false">IF(Settings!$B$9=TRUE(),WORKDAY(Settings!$B$6-1,A52),Settings!$B$6+A52-1)</f>
        <v>46171</v>
      </c>
      <c r="C52" s="26" t="s">
        <v>111</v>
      </c>
      <c r="D52" s="25" t="s">
        <v>23</v>
      </c>
      <c r="E52" s="22" t="s">
        <v>167</v>
      </c>
      <c r="F52" s="22" t="s">
        <v>168</v>
      </c>
      <c r="G52" s="18" t="s">
        <v>169</v>
      </c>
      <c r="H52" s="18" t="n">
        <v>3</v>
      </c>
      <c r="I52" s="23" t="b">
        <f aca="false">TRUE()</f>
        <v>1</v>
      </c>
      <c r="J52" s="22"/>
      <c r="K52" s="22"/>
      <c r="L52" s="23" t="b">
        <f aca="false">FALSE()</f>
        <v>0</v>
      </c>
    </row>
    <row r="53" customFormat="false" ht="42" hidden="false" customHeight="true" outlineLevel="0" collapsed="false">
      <c r="A53" s="18" t="n">
        <v>16</v>
      </c>
      <c r="B53" s="19" t="n">
        <f aca="false">IF(Settings!$B$9=TRUE(),WORKDAY(Settings!$B$6-1,A53),Settings!$B$6+A53-1)</f>
        <v>46174</v>
      </c>
      <c r="C53" s="28" t="s">
        <v>170</v>
      </c>
      <c r="D53" s="25" t="s">
        <v>23</v>
      </c>
      <c r="E53" s="22" t="s">
        <v>171</v>
      </c>
      <c r="F53" s="22" t="s">
        <v>172</v>
      </c>
      <c r="G53" s="18" t="s">
        <v>169</v>
      </c>
      <c r="H53" s="18" t="n">
        <v>6</v>
      </c>
      <c r="I53" s="23" t="b">
        <f aca="false">TRUE()</f>
        <v>1</v>
      </c>
      <c r="J53" s="22"/>
      <c r="K53" s="22"/>
      <c r="L53" s="23" t="b">
        <f aca="false">FALSE()</f>
        <v>0</v>
      </c>
    </row>
    <row r="54" customFormat="false" ht="42" hidden="false" customHeight="true" outlineLevel="0" collapsed="false">
      <c r="A54" s="18" t="n">
        <v>16</v>
      </c>
      <c r="B54" s="19" t="n">
        <f aca="false">IF(Settings!$B$9=TRUE(),WORKDAY(Settings!$B$6-1,A54),Settings!$B$6+A54-1)</f>
        <v>46174</v>
      </c>
      <c r="C54" s="28" t="s">
        <v>170</v>
      </c>
      <c r="D54" s="24" t="s">
        <v>25</v>
      </c>
      <c r="E54" s="22" t="s">
        <v>173</v>
      </c>
      <c r="F54" s="22" t="s">
        <v>174</v>
      </c>
      <c r="G54" s="18"/>
      <c r="H54" s="18" t="n">
        <v>2</v>
      </c>
      <c r="I54" s="23" t="b">
        <f aca="false">TRUE()</f>
        <v>1</v>
      </c>
      <c r="J54" s="22"/>
      <c r="K54" s="22"/>
      <c r="L54" s="23" t="b">
        <f aca="false">FALSE()</f>
        <v>0</v>
      </c>
    </row>
    <row r="55" customFormat="false" ht="42" hidden="false" customHeight="true" outlineLevel="0" collapsed="false">
      <c r="A55" s="18" t="n">
        <v>17</v>
      </c>
      <c r="B55" s="19" t="n">
        <f aca="false">IF(Settings!$B$9=TRUE(),WORKDAY(Settings!$B$6-1,A55),Settings!$B$6+A55-1)</f>
        <v>46175</v>
      </c>
      <c r="C55" s="28" t="s">
        <v>170</v>
      </c>
      <c r="D55" s="25" t="s">
        <v>23</v>
      </c>
      <c r="E55" s="22" t="s">
        <v>175</v>
      </c>
      <c r="F55" s="22" t="s">
        <v>176</v>
      </c>
      <c r="G55" s="18" t="s">
        <v>177</v>
      </c>
      <c r="H55" s="18" t="n">
        <v>5</v>
      </c>
      <c r="I55" s="23" t="b">
        <f aca="false">TRUE()</f>
        <v>1</v>
      </c>
      <c r="J55" s="22"/>
      <c r="K55" s="22"/>
      <c r="L55" s="23" t="b">
        <f aca="false">FALSE()</f>
        <v>0</v>
      </c>
    </row>
    <row r="56" customFormat="false" ht="42" hidden="false" customHeight="true" outlineLevel="0" collapsed="false">
      <c r="A56" s="18" t="n">
        <v>17</v>
      </c>
      <c r="B56" s="19" t="n">
        <f aca="false">IF(Settings!$B$9=TRUE(),WORKDAY(Settings!$B$6-1,A56),Settings!$B$6+A56-1)</f>
        <v>46175</v>
      </c>
      <c r="C56" s="28" t="s">
        <v>170</v>
      </c>
      <c r="D56" s="25" t="s">
        <v>23</v>
      </c>
      <c r="E56" s="22" t="s">
        <v>178</v>
      </c>
      <c r="F56" s="22" t="s">
        <v>179</v>
      </c>
      <c r="G56" s="18" t="s">
        <v>180</v>
      </c>
      <c r="H56" s="18" t="n">
        <v>2</v>
      </c>
      <c r="I56" s="23" t="b">
        <f aca="false">TRUE()</f>
        <v>1</v>
      </c>
      <c r="J56" s="22"/>
      <c r="K56" s="22"/>
      <c r="L56" s="23" t="b">
        <f aca="false">FALSE()</f>
        <v>0</v>
      </c>
    </row>
    <row r="57" customFormat="false" ht="42" hidden="false" customHeight="true" outlineLevel="0" collapsed="false">
      <c r="A57" s="18" t="n">
        <v>17</v>
      </c>
      <c r="B57" s="19" t="n">
        <f aca="false">IF(Settings!$B$9=TRUE(),WORKDAY(Settings!$B$6-1,A57),Settings!$B$6+A57-1)</f>
        <v>46175</v>
      </c>
      <c r="C57" s="28" t="s">
        <v>170</v>
      </c>
      <c r="D57" s="21" t="s">
        <v>29</v>
      </c>
      <c r="E57" s="22" t="s">
        <v>181</v>
      </c>
      <c r="F57" s="22" t="s">
        <v>182</v>
      </c>
      <c r="G57" s="18"/>
      <c r="H57" s="18" t="n">
        <v>1</v>
      </c>
      <c r="I57" s="23" t="b">
        <f aca="false">TRUE()</f>
        <v>1</v>
      </c>
      <c r="J57" s="22"/>
      <c r="K57" s="22"/>
      <c r="L57" s="23" t="b">
        <f aca="false">FALSE()</f>
        <v>0</v>
      </c>
    </row>
    <row r="58" customFormat="false" ht="42" hidden="false" customHeight="true" outlineLevel="0" collapsed="false">
      <c r="A58" s="18" t="n">
        <v>18</v>
      </c>
      <c r="B58" s="19" t="n">
        <f aca="false">IF(Settings!$B$9=TRUE(),WORKDAY(Settings!$B$6-1,A58),Settings!$B$6+A58-1)</f>
        <v>46176</v>
      </c>
      <c r="C58" s="28" t="s">
        <v>170</v>
      </c>
      <c r="D58" s="25" t="s">
        <v>23</v>
      </c>
      <c r="E58" s="22" t="s">
        <v>183</v>
      </c>
      <c r="F58" s="22" t="s">
        <v>184</v>
      </c>
      <c r="G58" s="18" t="s">
        <v>177</v>
      </c>
      <c r="H58" s="18" t="n">
        <v>4</v>
      </c>
      <c r="I58" s="23" t="b">
        <f aca="false">TRUE()</f>
        <v>1</v>
      </c>
      <c r="J58" s="22"/>
      <c r="K58" s="22"/>
      <c r="L58" s="23" t="b">
        <f aca="false">FALSE()</f>
        <v>0</v>
      </c>
    </row>
    <row r="59" customFormat="false" ht="42" hidden="false" customHeight="true" outlineLevel="0" collapsed="false">
      <c r="A59" s="18" t="n">
        <v>18</v>
      </c>
      <c r="B59" s="19" t="n">
        <f aca="false">IF(Settings!$B$9=TRUE(),WORKDAY(Settings!$B$6-1,A59),Settings!$B$6+A59-1)</f>
        <v>46176</v>
      </c>
      <c r="C59" s="28" t="s">
        <v>170</v>
      </c>
      <c r="D59" s="25" t="s">
        <v>23</v>
      </c>
      <c r="E59" s="22" t="s">
        <v>185</v>
      </c>
      <c r="F59" s="22" t="s">
        <v>186</v>
      </c>
      <c r="G59" s="18" t="s">
        <v>180</v>
      </c>
      <c r="H59" s="18" t="n">
        <v>4</v>
      </c>
      <c r="I59" s="23" t="b">
        <f aca="false">TRUE()</f>
        <v>1</v>
      </c>
      <c r="J59" s="22"/>
      <c r="K59" s="22"/>
      <c r="L59" s="23" t="b">
        <f aca="false">FALSE()</f>
        <v>0</v>
      </c>
    </row>
    <row r="60" customFormat="false" ht="42" hidden="false" customHeight="true" outlineLevel="0" collapsed="false">
      <c r="A60" s="18" t="n">
        <v>19</v>
      </c>
      <c r="B60" s="19" t="n">
        <f aca="false">IF(Settings!$B$9=TRUE(),WORKDAY(Settings!$B$6-1,A60),Settings!$B$6+A60-1)</f>
        <v>46177</v>
      </c>
      <c r="C60" s="28" t="s">
        <v>170</v>
      </c>
      <c r="D60" s="27" t="s">
        <v>27</v>
      </c>
      <c r="E60" s="22" t="s">
        <v>187</v>
      </c>
      <c r="F60" s="22" t="s">
        <v>188</v>
      </c>
      <c r="G60" s="18" t="s">
        <v>189</v>
      </c>
      <c r="H60" s="18" t="n">
        <v>6</v>
      </c>
      <c r="I60" s="23" t="b">
        <f aca="false">TRUE()</f>
        <v>1</v>
      </c>
      <c r="J60" s="22"/>
      <c r="K60" s="22"/>
      <c r="L60" s="23" t="b">
        <f aca="false">FALSE()</f>
        <v>0</v>
      </c>
    </row>
    <row r="61" customFormat="false" ht="42" hidden="false" customHeight="true" outlineLevel="0" collapsed="false">
      <c r="A61" s="18" t="n">
        <v>19</v>
      </c>
      <c r="B61" s="19" t="n">
        <f aca="false">IF(Settings!$B$9=TRUE(),WORKDAY(Settings!$B$6-1,A61),Settings!$B$6+A61-1)</f>
        <v>46177</v>
      </c>
      <c r="C61" s="28" t="s">
        <v>170</v>
      </c>
      <c r="D61" s="24" t="s">
        <v>25</v>
      </c>
      <c r="E61" s="22" t="s">
        <v>190</v>
      </c>
      <c r="F61" s="22" t="s">
        <v>191</v>
      </c>
      <c r="G61" s="18" t="s">
        <v>192</v>
      </c>
      <c r="H61" s="18" t="n">
        <v>2</v>
      </c>
      <c r="I61" s="23" t="b">
        <f aca="false">TRUE()</f>
        <v>1</v>
      </c>
      <c r="J61" s="22"/>
      <c r="K61" s="22"/>
      <c r="L61" s="23" t="b">
        <f aca="false">FALSE()</f>
        <v>0</v>
      </c>
    </row>
    <row r="62" customFormat="false" ht="42" hidden="false" customHeight="true" outlineLevel="0" collapsed="false">
      <c r="A62" s="18" t="n">
        <v>20</v>
      </c>
      <c r="B62" s="19" t="n">
        <f aca="false">IF(Settings!$B$9=TRUE(),WORKDAY(Settings!$B$6-1,A62),Settings!$B$6+A62-1)</f>
        <v>46178</v>
      </c>
      <c r="C62" s="28" t="s">
        <v>170</v>
      </c>
      <c r="D62" s="25" t="s">
        <v>23</v>
      </c>
      <c r="E62" s="22" t="s">
        <v>193</v>
      </c>
      <c r="F62" s="22" t="s">
        <v>194</v>
      </c>
      <c r="G62" s="18" t="s">
        <v>192</v>
      </c>
      <c r="H62" s="18" t="n">
        <v>6</v>
      </c>
      <c r="I62" s="23" t="b">
        <f aca="false">TRUE()</f>
        <v>1</v>
      </c>
      <c r="J62" s="22"/>
      <c r="K62" s="22"/>
      <c r="L62" s="23" t="b">
        <f aca="false">FALSE()</f>
        <v>0</v>
      </c>
    </row>
    <row r="63" customFormat="false" ht="42" hidden="false" customHeight="true" outlineLevel="0" collapsed="false">
      <c r="A63" s="18" t="n">
        <v>20</v>
      </c>
      <c r="B63" s="19" t="n">
        <f aca="false">IF(Settings!$B$9=TRUE(),WORKDAY(Settings!$B$6-1,A63),Settings!$B$6+A63-1)</f>
        <v>46178</v>
      </c>
      <c r="C63" s="28" t="s">
        <v>170</v>
      </c>
      <c r="D63" s="24" t="s">
        <v>25</v>
      </c>
      <c r="E63" s="22" t="s">
        <v>195</v>
      </c>
      <c r="F63" s="22" t="s">
        <v>196</v>
      </c>
      <c r="G63" s="18" t="s">
        <v>192</v>
      </c>
      <c r="H63" s="18" t="n">
        <v>2</v>
      </c>
      <c r="I63" s="23" t="b">
        <f aca="false">TRUE()</f>
        <v>1</v>
      </c>
      <c r="J63" s="22"/>
      <c r="K63" s="22"/>
      <c r="L63" s="23" t="b">
        <f aca="false">FALSE()</f>
        <v>0</v>
      </c>
    </row>
    <row r="64" customFormat="false" ht="42" hidden="false" customHeight="true" outlineLevel="0" collapsed="false">
      <c r="A64" s="18" t="n">
        <v>21</v>
      </c>
      <c r="B64" s="19" t="n">
        <f aca="false">IF(Settings!$B$9=TRUE(),WORKDAY(Settings!$B$6-1,A64),Settings!$B$6+A64-1)</f>
        <v>46181</v>
      </c>
      <c r="C64" s="28" t="s">
        <v>170</v>
      </c>
      <c r="D64" s="24" t="s">
        <v>25</v>
      </c>
      <c r="E64" s="22" t="s">
        <v>197</v>
      </c>
      <c r="F64" s="22" t="s">
        <v>198</v>
      </c>
      <c r="G64" s="18" t="s">
        <v>199</v>
      </c>
      <c r="H64" s="18" t="n">
        <v>5</v>
      </c>
      <c r="I64" s="23" t="b">
        <f aca="false">TRUE()</f>
        <v>1</v>
      </c>
      <c r="J64" s="22"/>
      <c r="K64" s="22"/>
      <c r="L64" s="23" t="b">
        <f aca="false">FALSE()</f>
        <v>0</v>
      </c>
    </row>
    <row r="65" customFormat="false" ht="42" hidden="false" customHeight="true" outlineLevel="0" collapsed="false">
      <c r="A65" s="18" t="n">
        <v>21</v>
      </c>
      <c r="B65" s="19" t="n">
        <f aca="false">IF(Settings!$B$9=TRUE(),WORKDAY(Settings!$B$6-1,A65),Settings!$B$6+A65-1)</f>
        <v>46181</v>
      </c>
      <c r="C65" s="28" t="s">
        <v>170</v>
      </c>
      <c r="D65" s="24" t="s">
        <v>25</v>
      </c>
      <c r="E65" s="22" t="s">
        <v>200</v>
      </c>
      <c r="F65" s="22" t="s">
        <v>201</v>
      </c>
      <c r="G65" s="18" t="s">
        <v>202</v>
      </c>
      <c r="H65" s="18" t="n">
        <v>3</v>
      </c>
      <c r="I65" s="23" t="b">
        <f aca="false">TRUE()</f>
        <v>1</v>
      </c>
      <c r="J65" s="22"/>
      <c r="K65" s="22"/>
      <c r="L65" s="23" t="b">
        <f aca="false">FALSE()</f>
        <v>0</v>
      </c>
    </row>
    <row r="66" customFormat="false" ht="42" hidden="false" customHeight="true" outlineLevel="0" collapsed="false">
      <c r="A66" s="18" t="n">
        <v>22</v>
      </c>
      <c r="B66" s="19" t="n">
        <f aca="false">IF(Settings!$B$9=TRUE(),WORKDAY(Settings!$B$6-1,A66),Settings!$B$6+A66-1)</f>
        <v>46182</v>
      </c>
      <c r="C66" s="29" t="s">
        <v>203</v>
      </c>
      <c r="D66" s="25" t="s">
        <v>23</v>
      </c>
      <c r="E66" s="22" t="s">
        <v>204</v>
      </c>
      <c r="F66" s="22" t="s">
        <v>205</v>
      </c>
      <c r="G66" s="18" t="s">
        <v>199</v>
      </c>
      <c r="H66" s="18" t="n">
        <v>4</v>
      </c>
      <c r="I66" s="23" t="b">
        <f aca="false">TRUE()</f>
        <v>1</v>
      </c>
      <c r="J66" s="22"/>
      <c r="K66" s="22"/>
      <c r="L66" s="23" t="b">
        <f aca="false">FALSE()</f>
        <v>0</v>
      </c>
    </row>
    <row r="67" customFormat="false" ht="42" hidden="false" customHeight="true" outlineLevel="0" collapsed="false">
      <c r="A67" s="18" t="n">
        <v>22</v>
      </c>
      <c r="B67" s="19" t="n">
        <f aca="false">IF(Settings!$B$9=TRUE(),WORKDAY(Settings!$B$6-1,A67),Settings!$B$6+A67-1)</f>
        <v>46182</v>
      </c>
      <c r="C67" s="29" t="s">
        <v>203</v>
      </c>
      <c r="D67" s="25" t="s">
        <v>23</v>
      </c>
      <c r="E67" s="22" t="s">
        <v>206</v>
      </c>
      <c r="F67" s="22" t="s">
        <v>207</v>
      </c>
      <c r="G67" s="18" t="s">
        <v>208</v>
      </c>
      <c r="H67" s="18" t="n">
        <v>2</v>
      </c>
      <c r="I67" s="23" t="b">
        <f aca="false">TRUE()</f>
        <v>1</v>
      </c>
      <c r="J67" s="22"/>
      <c r="K67" s="22"/>
      <c r="L67" s="23" t="b">
        <f aca="false">FALSE()</f>
        <v>0</v>
      </c>
    </row>
    <row r="68" customFormat="false" ht="42" hidden="false" customHeight="true" outlineLevel="0" collapsed="false">
      <c r="A68" s="18" t="n">
        <v>22</v>
      </c>
      <c r="B68" s="19" t="n">
        <f aca="false">IF(Settings!$B$9=TRUE(),WORKDAY(Settings!$B$6-1,A68),Settings!$B$6+A68-1)</f>
        <v>46182</v>
      </c>
      <c r="C68" s="29" t="s">
        <v>203</v>
      </c>
      <c r="D68" s="25" t="s">
        <v>23</v>
      </c>
      <c r="E68" s="22" t="s">
        <v>209</v>
      </c>
      <c r="F68" s="22" t="s">
        <v>210</v>
      </c>
      <c r="G68" s="18" t="s">
        <v>208</v>
      </c>
      <c r="H68" s="18" t="n">
        <v>2</v>
      </c>
      <c r="I68" s="23" t="b">
        <f aca="false">TRUE()</f>
        <v>1</v>
      </c>
      <c r="J68" s="22"/>
      <c r="K68" s="22"/>
      <c r="L68" s="23" t="b">
        <f aca="false">FALSE()</f>
        <v>0</v>
      </c>
    </row>
    <row r="69" customFormat="false" ht="42" hidden="false" customHeight="true" outlineLevel="0" collapsed="false">
      <c r="A69" s="18" t="n">
        <v>23</v>
      </c>
      <c r="B69" s="19" t="n">
        <f aca="false">IF(Settings!$B$9=TRUE(),WORKDAY(Settings!$B$6-1,A69),Settings!$B$6+A69-1)</f>
        <v>46183</v>
      </c>
      <c r="C69" s="29" t="s">
        <v>203</v>
      </c>
      <c r="D69" s="25" t="s">
        <v>23</v>
      </c>
      <c r="E69" s="22" t="s">
        <v>211</v>
      </c>
      <c r="F69" s="22" t="s">
        <v>212</v>
      </c>
      <c r="G69" s="18" t="s">
        <v>213</v>
      </c>
      <c r="H69" s="18" t="n">
        <v>5</v>
      </c>
      <c r="I69" s="23" t="b">
        <f aca="false">TRUE()</f>
        <v>1</v>
      </c>
      <c r="J69" s="22"/>
      <c r="K69" s="22"/>
      <c r="L69" s="23" t="b">
        <f aca="false">FALSE()</f>
        <v>0</v>
      </c>
    </row>
    <row r="70" customFormat="false" ht="42" hidden="false" customHeight="true" outlineLevel="0" collapsed="false">
      <c r="A70" s="18" t="n">
        <v>23</v>
      </c>
      <c r="B70" s="19" t="n">
        <f aca="false">IF(Settings!$B$9=TRUE(),WORKDAY(Settings!$B$6-1,A70),Settings!$B$6+A70-1)</f>
        <v>46183</v>
      </c>
      <c r="C70" s="29" t="s">
        <v>203</v>
      </c>
      <c r="D70" s="25" t="s">
        <v>23</v>
      </c>
      <c r="E70" s="22" t="s">
        <v>214</v>
      </c>
      <c r="F70" s="22" t="s">
        <v>215</v>
      </c>
      <c r="G70" s="18" t="s">
        <v>216</v>
      </c>
      <c r="H70" s="18" t="n">
        <v>3</v>
      </c>
      <c r="I70" s="23" t="b">
        <f aca="false">TRUE()</f>
        <v>1</v>
      </c>
      <c r="J70" s="22"/>
      <c r="K70" s="22"/>
      <c r="L70" s="23" t="b">
        <f aca="false">FALSE()</f>
        <v>0</v>
      </c>
    </row>
    <row r="71" customFormat="false" ht="42" hidden="false" customHeight="true" outlineLevel="0" collapsed="false">
      <c r="A71" s="18" t="n">
        <v>24</v>
      </c>
      <c r="B71" s="19" t="n">
        <f aca="false">IF(Settings!$B$9=TRUE(),WORKDAY(Settings!$B$6-1,A71),Settings!$B$6+A71-1)</f>
        <v>46184</v>
      </c>
      <c r="C71" s="29" t="s">
        <v>203</v>
      </c>
      <c r="D71" s="24" t="s">
        <v>25</v>
      </c>
      <c r="E71" s="22" t="s">
        <v>217</v>
      </c>
      <c r="F71" s="22" t="s">
        <v>218</v>
      </c>
      <c r="G71" s="18"/>
      <c r="H71" s="18" t="n">
        <v>3</v>
      </c>
      <c r="I71" s="23" t="b">
        <f aca="false">TRUE()</f>
        <v>1</v>
      </c>
      <c r="J71" s="22"/>
      <c r="K71" s="22"/>
      <c r="L71" s="23" t="b">
        <f aca="false">FALSE()</f>
        <v>0</v>
      </c>
    </row>
    <row r="72" customFormat="false" ht="42" hidden="false" customHeight="true" outlineLevel="0" collapsed="false">
      <c r="A72" s="18" t="n">
        <v>24</v>
      </c>
      <c r="B72" s="19" t="n">
        <f aca="false">IF(Settings!$B$9=TRUE(),WORKDAY(Settings!$B$6-1,A72),Settings!$B$6+A72-1)</f>
        <v>46184</v>
      </c>
      <c r="C72" s="29" t="s">
        <v>203</v>
      </c>
      <c r="D72" s="24" t="s">
        <v>25</v>
      </c>
      <c r="E72" s="22" t="s">
        <v>219</v>
      </c>
      <c r="F72" s="22" t="s">
        <v>220</v>
      </c>
      <c r="G72" s="18"/>
      <c r="H72" s="18" t="n">
        <v>3</v>
      </c>
      <c r="I72" s="23" t="b">
        <f aca="false">TRUE()</f>
        <v>1</v>
      </c>
      <c r="J72" s="22"/>
      <c r="K72" s="22"/>
      <c r="L72" s="23" t="b">
        <f aca="false">FALSE()</f>
        <v>0</v>
      </c>
    </row>
    <row r="73" customFormat="false" ht="42" hidden="false" customHeight="true" outlineLevel="0" collapsed="false">
      <c r="A73" s="18" t="n">
        <v>24</v>
      </c>
      <c r="B73" s="19" t="n">
        <f aca="false">IF(Settings!$B$9=TRUE(),WORKDAY(Settings!$B$6-1,A73),Settings!$B$6+A73-1)</f>
        <v>46184</v>
      </c>
      <c r="C73" s="29" t="s">
        <v>203</v>
      </c>
      <c r="D73" s="24" t="s">
        <v>25</v>
      </c>
      <c r="E73" s="22" t="s">
        <v>221</v>
      </c>
      <c r="F73" s="22" t="s">
        <v>222</v>
      </c>
      <c r="G73" s="18"/>
      <c r="H73" s="18" t="n">
        <v>2</v>
      </c>
      <c r="I73" s="23" t="b">
        <f aca="false">TRUE()</f>
        <v>1</v>
      </c>
      <c r="J73" s="22"/>
      <c r="K73" s="22"/>
      <c r="L73" s="23" t="b">
        <f aca="false">FALSE()</f>
        <v>0</v>
      </c>
    </row>
    <row r="74" customFormat="false" ht="42" hidden="false" customHeight="true" outlineLevel="0" collapsed="false">
      <c r="A74" s="18" t="n">
        <v>25</v>
      </c>
      <c r="B74" s="19" t="n">
        <f aca="false">IF(Settings!$B$9=TRUE(),WORKDAY(Settings!$B$6-1,A74),Settings!$B$6+A74-1)</f>
        <v>46185</v>
      </c>
      <c r="C74" s="29" t="s">
        <v>203</v>
      </c>
      <c r="D74" s="21" t="s">
        <v>29</v>
      </c>
      <c r="E74" s="22" t="s">
        <v>223</v>
      </c>
      <c r="F74" s="22" t="s">
        <v>224</v>
      </c>
      <c r="G74" s="18" t="s">
        <v>225</v>
      </c>
      <c r="H74" s="18" t="n">
        <v>3</v>
      </c>
      <c r="I74" s="23" t="b">
        <f aca="false">TRUE()</f>
        <v>1</v>
      </c>
      <c r="J74" s="22"/>
      <c r="K74" s="22"/>
      <c r="L74" s="23" t="b">
        <f aca="false">FALSE()</f>
        <v>0</v>
      </c>
    </row>
    <row r="75" customFormat="false" ht="42" hidden="false" customHeight="true" outlineLevel="0" collapsed="false">
      <c r="A75" s="18" t="n">
        <v>25</v>
      </c>
      <c r="B75" s="19" t="n">
        <f aca="false">IF(Settings!$B$9=TRUE(),WORKDAY(Settings!$B$6-1,A75),Settings!$B$6+A75-1)</f>
        <v>46185</v>
      </c>
      <c r="C75" s="29" t="s">
        <v>203</v>
      </c>
      <c r="D75" s="27" t="s">
        <v>27</v>
      </c>
      <c r="E75" s="22" t="s">
        <v>226</v>
      </c>
      <c r="F75" s="22" t="s">
        <v>227</v>
      </c>
      <c r="G75" s="18" t="s">
        <v>225</v>
      </c>
      <c r="H75" s="18" t="n">
        <v>4</v>
      </c>
      <c r="I75" s="23" t="b">
        <f aca="false">TRUE()</f>
        <v>1</v>
      </c>
      <c r="J75" s="22"/>
      <c r="K75" s="22"/>
      <c r="L75" s="23" t="b">
        <f aca="false">FALSE()</f>
        <v>0</v>
      </c>
    </row>
    <row r="76" customFormat="false" ht="42" hidden="false" customHeight="true" outlineLevel="0" collapsed="false">
      <c r="A76" s="18" t="n">
        <v>25</v>
      </c>
      <c r="B76" s="19" t="n">
        <f aca="false">IF(Settings!$B$9=TRUE(),WORKDAY(Settings!$B$6-1,A76),Settings!$B$6+A76-1)</f>
        <v>46185</v>
      </c>
      <c r="C76" s="29" t="s">
        <v>203</v>
      </c>
      <c r="D76" s="25" t="s">
        <v>23</v>
      </c>
      <c r="E76" s="22" t="s">
        <v>228</v>
      </c>
      <c r="F76" s="22" t="s">
        <v>229</v>
      </c>
      <c r="G76" s="18" t="s">
        <v>225</v>
      </c>
      <c r="H76" s="18" t="n">
        <v>1</v>
      </c>
      <c r="I76" s="23" t="b">
        <f aca="false">TRUE()</f>
        <v>1</v>
      </c>
      <c r="J76" s="22"/>
      <c r="K76" s="22"/>
      <c r="L76" s="23" t="b">
        <f aca="false">FALSE()</f>
        <v>0</v>
      </c>
    </row>
    <row r="77" customFormat="false" ht="42" hidden="false" customHeight="true" outlineLevel="0" collapsed="false">
      <c r="A77" s="18" t="n">
        <v>26</v>
      </c>
      <c r="B77" s="19" t="n">
        <f aca="false">IF(Settings!$B$9=TRUE(),WORKDAY(Settings!$B$6-1,A77),Settings!$B$6+A77-1)</f>
        <v>46188</v>
      </c>
      <c r="C77" s="29" t="s">
        <v>203</v>
      </c>
      <c r="D77" s="25" t="s">
        <v>23</v>
      </c>
      <c r="E77" s="22" t="s">
        <v>230</v>
      </c>
      <c r="F77" s="22" t="s">
        <v>231</v>
      </c>
      <c r="G77" s="18" t="s">
        <v>232</v>
      </c>
      <c r="H77" s="18" t="n">
        <v>5</v>
      </c>
      <c r="I77" s="23" t="b">
        <f aca="false">TRUE()</f>
        <v>1</v>
      </c>
      <c r="J77" s="22"/>
      <c r="K77" s="22"/>
      <c r="L77" s="23" t="b">
        <f aca="false">FALSE()</f>
        <v>0</v>
      </c>
    </row>
    <row r="78" customFormat="false" ht="42" hidden="false" customHeight="true" outlineLevel="0" collapsed="false">
      <c r="A78" s="18" t="n">
        <v>26</v>
      </c>
      <c r="B78" s="19" t="n">
        <f aca="false">IF(Settings!$B$9=TRUE(),WORKDAY(Settings!$B$6-1,A78),Settings!$B$6+A78-1)</f>
        <v>46188</v>
      </c>
      <c r="C78" s="29" t="s">
        <v>203</v>
      </c>
      <c r="D78" s="24" t="s">
        <v>25</v>
      </c>
      <c r="E78" s="22" t="s">
        <v>233</v>
      </c>
      <c r="F78" s="22" t="s">
        <v>234</v>
      </c>
      <c r="G78" s="18" t="s">
        <v>232</v>
      </c>
      <c r="H78" s="18" t="n">
        <v>2</v>
      </c>
      <c r="I78" s="23" t="b">
        <f aca="false">TRUE()</f>
        <v>1</v>
      </c>
      <c r="J78" s="22"/>
      <c r="K78" s="22"/>
      <c r="L78" s="23" t="b">
        <f aca="false">FALSE()</f>
        <v>0</v>
      </c>
    </row>
    <row r="79" customFormat="false" ht="42" hidden="false" customHeight="true" outlineLevel="0" collapsed="false">
      <c r="A79" s="18" t="n">
        <v>26</v>
      </c>
      <c r="B79" s="19" t="n">
        <f aca="false">IF(Settings!$B$9=TRUE(),WORKDAY(Settings!$B$6-1,A79),Settings!$B$6+A79-1)</f>
        <v>46188</v>
      </c>
      <c r="C79" s="29" t="s">
        <v>203</v>
      </c>
      <c r="D79" s="21" t="s">
        <v>29</v>
      </c>
      <c r="E79" s="22" t="s">
        <v>235</v>
      </c>
      <c r="F79" s="22" t="s">
        <v>236</v>
      </c>
      <c r="G79" s="18"/>
      <c r="H79" s="18" t="n">
        <v>1</v>
      </c>
      <c r="I79" s="23" t="b">
        <f aca="false">TRUE()</f>
        <v>1</v>
      </c>
      <c r="J79" s="22"/>
      <c r="K79" s="22"/>
      <c r="L79" s="23" t="b">
        <f aca="false">FALSE()</f>
        <v>0</v>
      </c>
    </row>
    <row r="80" customFormat="false" ht="42" hidden="false" customHeight="true" outlineLevel="0" collapsed="false">
      <c r="A80" s="18" t="n">
        <v>27</v>
      </c>
      <c r="B80" s="19" t="n">
        <f aca="false">IF(Settings!$B$9=TRUE(),WORKDAY(Settings!$B$6-1,A80),Settings!$B$6+A80-1)</f>
        <v>46189</v>
      </c>
      <c r="C80" s="29" t="s">
        <v>203</v>
      </c>
      <c r="D80" s="25" t="s">
        <v>23</v>
      </c>
      <c r="E80" s="22" t="s">
        <v>237</v>
      </c>
      <c r="F80" s="22" t="s">
        <v>238</v>
      </c>
      <c r="G80" s="18" t="s">
        <v>239</v>
      </c>
      <c r="H80" s="18" t="n">
        <v>6</v>
      </c>
      <c r="I80" s="23" t="b">
        <f aca="false">TRUE()</f>
        <v>1</v>
      </c>
      <c r="J80" s="22"/>
      <c r="K80" s="22"/>
      <c r="L80" s="23" t="b">
        <f aca="false">FALSE()</f>
        <v>0</v>
      </c>
    </row>
    <row r="81" customFormat="false" ht="42" hidden="false" customHeight="true" outlineLevel="0" collapsed="false">
      <c r="A81" s="18" t="n">
        <v>27</v>
      </c>
      <c r="B81" s="19" t="n">
        <f aca="false">IF(Settings!$B$9=TRUE(),WORKDAY(Settings!$B$6-1,A81),Settings!$B$6+A81-1)</f>
        <v>46189</v>
      </c>
      <c r="C81" s="29" t="s">
        <v>203</v>
      </c>
      <c r="D81" s="24" t="s">
        <v>25</v>
      </c>
      <c r="E81" s="22" t="s">
        <v>240</v>
      </c>
      <c r="F81" s="22" t="s">
        <v>241</v>
      </c>
      <c r="G81" s="18"/>
      <c r="H81" s="18" t="n">
        <v>2</v>
      </c>
      <c r="I81" s="23" t="b">
        <f aca="false">TRUE()</f>
        <v>1</v>
      </c>
      <c r="J81" s="22"/>
      <c r="K81" s="22"/>
      <c r="L81" s="23" t="b">
        <f aca="false">FALSE()</f>
        <v>0</v>
      </c>
    </row>
    <row r="82" customFormat="false" ht="42" hidden="false" customHeight="true" outlineLevel="0" collapsed="false">
      <c r="A82" s="18" t="n">
        <v>28</v>
      </c>
      <c r="B82" s="19" t="n">
        <f aca="false">IF(Settings!$B$9=TRUE(),WORKDAY(Settings!$B$6-1,A82),Settings!$B$6+A82-1)</f>
        <v>46190</v>
      </c>
      <c r="C82" s="29" t="s">
        <v>203</v>
      </c>
      <c r="D82" s="25" t="s">
        <v>23</v>
      </c>
      <c r="E82" s="22" t="s">
        <v>242</v>
      </c>
      <c r="F82" s="22" t="s">
        <v>243</v>
      </c>
      <c r="G82" s="18" t="s">
        <v>244</v>
      </c>
      <c r="H82" s="18" t="n">
        <v>6</v>
      </c>
      <c r="I82" s="23" t="b">
        <f aca="false">TRUE()</f>
        <v>1</v>
      </c>
      <c r="J82" s="22"/>
      <c r="K82" s="22"/>
      <c r="L82" s="23" t="b">
        <f aca="false">FALSE()</f>
        <v>0</v>
      </c>
    </row>
    <row r="83" customFormat="false" ht="42" hidden="false" customHeight="true" outlineLevel="0" collapsed="false">
      <c r="A83" s="18" t="n">
        <v>28</v>
      </c>
      <c r="B83" s="19" t="n">
        <f aca="false">IF(Settings!$B$9=TRUE(),WORKDAY(Settings!$B$6-1,A83),Settings!$B$6+A83-1)</f>
        <v>46190</v>
      </c>
      <c r="C83" s="29" t="s">
        <v>203</v>
      </c>
      <c r="D83" s="24" t="s">
        <v>25</v>
      </c>
      <c r="E83" s="22" t="s">
        <v>245</v>
      </c>
      <c r="F83" s="22" t="s">
        <v>246</v>
      </c>
      <c r="G83" s="18"/>
      <c r="H83" s="18" t="n">
        <v>2</v>
      </c>
      <c r="I83" s="23" t="b">
        <f aca="false">TRUE()</f>
        <v>1</v>
      </c>
      <c r="J83" s="22"/>
      <c r="K83" s="22"/>
      <c r="L83" s="23" t="b">
        <f aca="false">FALSE()</f>
        <v>0</v>
      </c>
    </row>
    <row r="84" customFormat="false" ht="42" hidden="false" customHeight="true" outlineLevel="0" collapsed="false">
      <c r="A84" s="18" t="n">
        <v>29</v>
      </c>
      <c r="B84" s="19" t="n">
        <f aca="false">IF(Settings!$B$9=TRUE(),WORKDAY(Settings!$B$6-1,A84),Settings!$B$6+A84-1)</f>
        <v>46191</v>
      </c>
      <c r="C84" s="29" t="s">
        <v>203</v>
      </c>
      <c r="D84" s="25" t="s">
        <v>23</v>
      </c>
      <c r="E84" s="22" t="s">
        <v>247</v>
      </c>
      <c r="F84" s="22" t="s">
        <v>248</v>
      </c>
      <c r="G84" s="18" t="s">
        <v>249</v>
      </c>
      <c r="H84" s="18" t="n">
        <v>4</v>
      </c>
      <c r="I84" s="23" t="b">
        <f aca="false">TRUE()</f>
        <v>1</v>
      </c>
      <c r="J84" s="22"/>
      <c r="K84" s="22"/>
      <c r="L84" s="23" t="b">
        <f aca="false">FALSE()</f>
        <v>0</v>
      </c>
    </row>
    <row r="85" customFormat="false" ht="42" hidden="false" customHeight="true" outlineLevel="0" collapsed="false">
      <c r="A85" s="18" t="n">
        <v>29</v>
      </c>
      <c r="B85" s="19" t="n">
        <f aca="false">IF(Settings!$B$9=TRUE(),WORKDAY(Settings!$B$6-1,A85),Settings!$B$6+A85-1)</f>
        <v>46191</v>
      </c>
      <c r="C85" s="29" t="s">
        <v>203</v>
      </c>
      <c r="D85" s="24" t="s">
        <v>25</v>
      </c>
      <c r="E85" s="22" t="s">
        <v>250</v>
      </c>
      <c r="F85" s="22" t="s">
        <v>251</v>
      </c>
      <c r="G85" s="18" t="s">
        <v>249</v>
      </c>
      <c r="H85" s="18" t="n">
        <v>4</v>
      </c>
      <c r="I85" s="23" t="b">
        <f aca="false">TRUE()</f>
        <v>1</v>
      </c>
      <c r="J85" s="22"/>
      <c r="K85" s="22"/>
      <c r="L85" s="23" t="b">
        <f aca="false">FALSE()</f>
        <v>0</v>
      </c>
    </row>
    <row r="86" customFormat="false" ht="42" hidden="false" customHeight="true" outlineLevel="0" collapsed="false">
      <c r="A86" s="18" t="n">
        <v>30</v>
      </c>
      <c r="B86" s="19" t="n">
        <f aca="false">IF(Settings!$B$9=TRUE(),WORKDAY(Settings!$B$6-1,A86),Settings!$B$6+A86-1)</f>
        <v>46192</v>
      </c>
      <c r="C86" s="29" t="s">
        <v>203</v>
      </c>
      <c r="D86" s="24" t="s">
        <v>25</v>
      </c>
      <c r="E86" s="22" t="s">
        <v>252</v>
      </c>
      <c r="F86" s="22" t="s">
        <v>253</v>
      </c>
      <c r="G86" s="18" t="s">
        <v>254</v>
      </c>
      <c r="H86" s="18" t="n">
        <v>6</v>
      </c>
      <c r="I86" s="23" t="b">
        <f aca="false">TRUE()</f>
        <v>1</v>
      </c>
      <c r="J86" s="22"/>
      <c r="K86" s="22"/>
      <c r="L86" s="23" t="b">
        <f aca="false">FALSE()</f>
        <v>0</v>
      </c>
    </row>
    <row r="87" customFormat="false" ht="42" hidden="false" customHeight="true" outlineLevel="0" collapsed="false">
      <c r="A87" s="18" t="n">
        <v>30</v>
      </c>
      <c r="B87" s="19" t="n">
        <f aca="false">IF(Settings!$B$9=TRUE(),WORKDAY(Settings!$B$6-1,A87),Settings!$B$6+A87-1)</f>
        <v>46192</v>
      </c>
      <c r="C87" s="29" t="s">
        <v>203</v>
      </c>
      <c r="D87" s="24" t="s">
        <v>25</v>
      </c>
      <c r="E87" s="22" t="s">
        <v>255</v>
      </c>
      <c r="F87" s="22" t="s">
        <v>256</v>
      </c>
      <c r="G87" s="18" t="s">
        <v>257</v>
      </c>
      <c r="H87" s="18" t="n">
        <v>4</v>
      </c>
      <c r="I87" s="23" t="b">
        <f aca="false">TRUE()</f>
        <v>1</v>
      </c>
      <c r="J87" s="22"/>
      <c r="K87" s="22"/>
      <c r="L87" s="23" t="b">
        <f aca="false">FALSE()</f>
        <v>0</v>
      </c>
    </row>
    <row r="88" customFormat="false" ht="42" hidden="false" customHeight="true" outlineLevel="0" collapsed="false">
      <c r="A88" s="18" t="n">
        <v>31</v>
      </c>
      <c r="B88" s="19" t="n">
        <f aca="false">IF(Settings!$B$9=TRUE(),WORKDAY(Settings!$B$6-1,A88),Settings!$B$6+A88-1)</f>
        <v>46195</v>
      </c>
      <c r="C88" s="30" t="s">
        <v>258</v>
      </c>
      <c r="D88" s="24" t="s">
        <v>25</v>
      </c>
      <c r="E88" s="22" t="s">
        <v>259</v>
      </c>
      <c r="F88" s="22" t="s">
        <v>260</v>
      </c>
      <c r="G88" s="18" t="s">
        <v>257</v>
      </c>
      <c r="H88" s="18" t="n">
        <v>4</v>
      </c>
      <c r="I88" s="23" t="b">
        <f aca="false">TRUE()</f>
        <v>1</v>
      </c>
      <c r="J88" s="22"/>
      <c r="K88" s="22"/>
      <c r="L88" s="23" t="b">
        <f aca="false">FALSE()</f>
        <v>0</v>
      </c>
    </row>
    <row r="89" customFormat="false" ht="42" hidden="false" customHeight="true" outlineLevel="0" collapsed="false">
      <c r="A89" s="18" t="n">
        <v>31</v>
      </c>
      <c r="B89" s="19" t="n">
        <f aca="false">IF(Settings!$B$9=TRUE(),WORKDAY(Settings!$B$6-1,A89),Settings!$B$6+A89-1)</f>
        <v>46195</v>
      </c>
      <c r="C89" s="30" t="s">
        <v>258</v>
      </c>
      <c r="D89" s="27" t="s">
        <v>27</v>
      </c>
      <c r="E89" s="22" t="s">
        <v>261</v>
      </c>
      <c r="F89" s="22" t="s">
        <v>262</v>
      </c>
      <c r="G89" s="18" t="s">
        <v>257</v>
      </c>
      <c r="H89" s="18" t="n">
        <v>3</v>
      </c>
      <c r="I89" s="23" t="b">
        <f aca="false">TRUE()</f>
        <v>1</v>
      </c>
      <c r="J89" s="22"/>
      <c r="K89" s="22"/>
      <c r="L89" s="23" t="b">
        <f aca="false">FALSE()</f>
        <v>0</v>
      </c>
    </row>
    <row r="90" customFormat="false" ht="42" hidden="false" customHeight="true" outlineLevel="0" collapsed="false">
      <c r="A90" s="18" t="n">
        <v>31</v>
      </c>
      <c r="B90" s="19" t="n">
        <f aca="false">IF(Settings!$B$9=TRUE(),WORKDAY(Settings!$B$6-1,A90),Settings!$B$6+A90-1)</f>
        <v>46195</v>
      </c>
      <c r="C90" s="30" t="s">
        <v>258</v>
      </c>
      <c r="D90" s="25" t="s">
        <v>23</v>
      </c>
      <c r="E90" s="22" t="s">
        <v>263</v>
      </c>
      <c r="F90" s="22" t="s">
        <v>264</v>
      </c>
      <c r="G90" s="18" t="s">
        <v>265</v>
      </c>
      <c r="H90" s="18" t="n">
        <v>3</v>
      </c>
      <c r="I90" s="23" t="b">
        <f aca="false">TRUE()</f>
        <v>1</v>
      </c>
      <c r="J90" s="22"/>
      <c r="K90" s="22"/>
      <c r="L90" s="23" t="b">
        <f aca="false">FALSE()</f>
        <v>0</v>
      </c>
    </row>
    <row r="91" customFormat="false" ht="42" hidden="false" customHeight="true" outlineLevel="0" collapsed="false">
      <c r="A91" s="18" t="n">
        <v>32</v>
      </c>
      <c r="B91" s="19" t="n">
        <f aca="false">IF(Settings!$B$9=TRUE(),WORKDAY(Settings!$B$6-1,A91),Settings!$B$6+A91-1)</f>
        <v>46196</v>
      </c>
      <c r="C91" s="30" t="s">
        <v>258</v>
      </c>
      <c r="D91" s="25" t="s">
        <v>23</v>
      </c>
      <c r="E91" s="22" t="s">
        <v>266</v>
      </c>
      <c r="F91" s="22" t="s">
        <v>267</v>
      </c>
      <c r="G91" s="18" t="s">
        <v>265</v>
      </c>
      <c r="H91" s="18" t="n">
        <v>4</v>
      </c>
      <c r="I91" s="23" t="b">
        <f aca="false">TRUE()</f>
        <v>1</v>
      </c>
      <c r="J91" s="22"/>
      <c r="K91" s="22"/>
      <c r="L91" s="23" t="b">
        <f aca="false">FALSE()</f>
        <v>0</v>
      </c>
    </row>
    <row r="92" customFormat="false" ht="42" hidden="false" customHeight="true" outlineLevel="0" collapsed="false">
      <c r="A92" s="18" t="n">
        <v>32</v>
      </c>
      <c r="B92" s="19" t="n">
        <f aca="false">IF(Settings!$B$9=TRUE(),WORKDAY(Settings!$B$6-1,A92),Settings!$B$6+A92-1)</f>
        <v>46196</v>
      </c>
      <c r="C92" s="30" t="s">
        <v>258</v>
      </c>
      <c r="D92" s="27" t="s">
        <v>27</v>
      </c>
      <c r="E92" s="22" t="s">
        <v>268</v>
      </c>
      <c r="F92" s="22" t="s">
        <v>269</v>
      </c>
      <c r="G92" s="18" t="s">
        <v>265</v>
      </c>
      <c r="H92" s="18" t="n">
        <v>2</v>
      </c>
      <c r="I92" s="23" t="b">
        <f aca="false">TRUE()</f>
        <v>1</v>
      </c>
      <c r="J92" s="22"/>
      <c r="K92" s="22"/>
      <c r="L92" s="23" t="b">
        <f aca="false">FALSE()</f>
        <v>0</v>
      </c>
    </row>
    <row r="93" customFormat="false" ht="42" hidden="false" customHeight="true" outlineLevel="0" collapsed="false">
      <c r="A93" s="18" t="n">
        <v>32</v>
      </c>
      <c r="B93" s="19" t="n">
        <f aca="false">IF(Settings!$B$9=TRUE(),WORKDAY(Settings!$B$6-1,A93),Settings!$B$6+A93-1)</f>
        <v>46196</v>
      </c>
      <c r="C93" s="30" t="s">
        <v>258</v>
      </c>
      <c r="D93" s="24" t="s">
        <v>25</v>
      </c>
      <c r="E93" s="22" t="s">
        <v>270</v>
      </c>
      <c r="F93" s="22" t="s">
        <v>271</v>
      </c>
      <c r="G93" s="18" t="s">
        <v>265</v>
      </c>
      <c r="H93" s="18" t="n">
        <v>2</v>
      </c>
      <c r="I93" s="23" t="b">
        <f aca="false">TRUE()</f>
        <v>1</v>
      </c>
      <c r="J93" s="22"/>
      <c r="K93" s="22"/>
      <c r="L93" s="23" t="b">
        <f aca="false">FALSE()</f>
        <v>0</v>
      </c>
    </row>
    <row r="94" customFormat="false" ht="42" hidden="false" customHeight="true" outlineLevel="0" collapsed="false">
      <c r="A94" s="18" t="n">
        <v>33</v>
      </c>
      <c r="B94" s="19" t="n">
        <f aca="false">IF(Settings!$B$9=TRUE(),WORKDAY(Settings!$B$6-1,A94),Settings!$B$6+A94-1)</f>
        <v>46197</v>
      </c>
      <c r="C94" s="30" t="s">
        <v>258</v>
      </c>
      <c r="D94" s="21" t="s">
        <v>29</v>
      </c>
      <c r="E94" s="22" t="s">
        <v>272</v>
      </c>
      <c r="F94" s="22" t="s">
        <v>273</v>
      </c>
      <c r="G94" s="18" t="s">
        <v>274</v>
      </c>
      <c r="H94" s="18" t="n">
        <v>5</v>
      </c>
      <c r="I94" s="23" t="b">
        <f aca="false">TRUE()</f>
        <v>1</v>
      </c>
      <c r="J94" s="22"/>
      <c r="K94" s="22"/>
      <c r="L94" s="23" t="b">
        <f aca="false">FALSE()</f>
        <v>0</v>
      </c>
    </row>
    <row r="95" customFormat="false" ht="42" hidden="false" customHeight="true" outlineLevel="0" collapsed="false">
      <c r="A95" s="18" t="n">
        <v>33</v>
      </c>
      <c r="B95" s="19" t="n">
        <f aca="false">IF(Settings!$B$9=TRUE(),WORKDAY(Settings!$B$6-1,A95),Settings!$B$6+A95-1)</f>
        <v>46197</v>
      </c>
      <c r="C95" s="30" t="s">
        <v>258</v>
      </c>
      <c r="D95" s="24" t="s">
        <v>25</v>
      </c>
      <c r="E95" s="22" t="s">
        <v>275</v>
      </c>
      <c r="F95" s="22" t="s">
        <v>276</v>
      </c>
      <c r="G95" s="18"/>
      <c r="H95" s="18" t="n">
        <v>2</v>
      </c>
      <c r="I95" s="23" t="b">
        <f aca="false">TRUE()</f>
        <v>1</v>
      </c>
      <c r="J95" s="22"/>
      <c r="K95" s="22"/>
      <c r="L95" s="23" t="b">
        <f aca="false">FALSE()</f>
        <v>0</v>
      </c>
    </row>
    <row r="96" customFormat="false" ht="42" hidden="false" customHeight="true" outlineLevel="0" collapsed="false">
      <c r="A96" s="18" t="n">
        <v>33</v>
      </c>
      <c r="B96" s="19" t="n">
        <f aca="false">IF(Settings!$B$9=TRUE(),WORKDAY(Settings!$B$6-1,A96),Settings!$B$6+A96-1)</f>
        <v>46197</v>
      </c>
      <c r="C96" s="30" t="s">
        <v>258</v>
      </c>
      <c r="D96" s="27" t="s">
        <v>27</v>
      </c>
      <c r="E96" s="22" t="s">
        <v>277</v>
      </c>
      <c r="F96" s="22" t="s">
        <v>278</v>
      </c>
      <c r="G96" s="18" t="s">
        <v>274</v>
      </c>
      <c r="H96" s="18" t="n">
        <v>1</v>
      </c>
      <c r="I96" s="23" t="b">
        <f aca="false">TRUE()</f>
        <v>1</v>
      </c>
      <c r="J96" s="22"/>
      <c r="K96" s="22"/>
      <c r="L96" s="23" t="b">
        <f aca="false">FALSE()</f>
        <v>0</v>
      </c>
    </row>
    <row r="97" customFormat="false" ht="42" hidden="false" customHeight="true" outlineLevel="0" collapsed="false">
      <c r="A97" s="18" t="n">
        <v>34</v>
      </c>
      <c r="B97" s="19" t="n">
        <f aca="false">IF(Settings!$B$9=TRUE(),WORKDAY(Settings!$B$6-1,A97),Settings!$B$6+A97-1)</f>
        <v>46198</v>
      </c>
      <c r="C97" s="30" t="s">
        <v>258</v>
      </c>
      <c r="D97" s="24" t="s">
        <v>25</v>
      </c>
      <c r="E97" s="22" t="s">
        <v>279</v>
      </c>
      <c r="F97" s="22" t="s">
        <v>280</v>
      </c>
      <c r="G97" s="18" t="s">
        <v>281</v>
      </c>
      <c r="H97" s="18" t="n">
        <v>3</v>
      </c>
      <c r="I97" s="23" t="b">
        <f aca="false">TRUE()</f>
        <v>1</v>
      </c>
      <c r="J97" s="22"/>
      <c r="K97" s="22"/>
      <c r="L97" s="23" t="b">
        <f aca="false">FALSE()</f>
        <v>0</v>
      </c>
    </row>
    <row r="98" customFormat="false" ht="42" hidden="false" customHeight="true" outlineLevel="0" collapsed="false">
      <c r="A98" s="18" t="n">
        <v>34</v>
      </c>
      <c r="B98" s="19" t="n">
        <f aca="false">IF(Settings!$B$9=TRUE(),WORKDAY(Settings!$B$6-1,A98),Settings!$B$6+A98-1)</f>
        <v>46198</v>
      </c>
      <c r="C98" s="30" t="s">
        <v>258</v>
      </c>
      <c r="D98" s="27" t="s">
        <v>27</v>
      </c>
      <c r="E98" s="22" t="s">
        <v>282</v>
      </c>
      <c r="F98" s="22" t="s">
        <v>283</v>
      </c>
      <c r="G98" s="18" t="s">
        <v>281</v>
      </c>
      <c r="H98" s="18" t="n">
        <v>3</v>
      </c>
      <c r="I98" s="23" t="b">
        <f aca="false">TRUE()</f>
        <v>1</v>
      </c>
      <c r="J98" s="22"/>
      <c r="K98" s="22"/>
      <c r="L98" s="23" t="b">
        <f aca="false">FALSE()</f>
        <v>0</v>
      </c>
    </row>
    <row r="99" customFormat="false" ht="42" hidden="false" customHeight="true" outlineLevel="0" collapsed="false">
      <c r="A99" s="18" t="n">
        <v>34</v>
      </c>
      <c r="B99" s="19" t="n">
        <f aca="false">IF(Settings!$B$9=TRUE(),WORKDAY(Settings!$B$6-1,A99),Settings!$B$6+A99-1)</f>
        <v>46198</v>
      </c>
      <c r="C99" s="30" t="s">
        <v>258</v>
      </c>
      <c r="D99" s="27" t="s">
        <v>27</v>
      </c>
      <c r="E99" s="22" t="s">
        <v>284</v>
      </c>
      <c r="F99" s="22" t="s">
        <v>285</v>
      </c>
      <c r="G99" s="18" t="s">
        <v>281</v>
      </c>
      <c r="H99" s="18" t="n">
        <v>2</v>
      </c>
      <c r="I99" s="23" t="b">
        <f aca="false">TRUE()</f>
        <v>1</v>
      </c>
      <c r="J99" s="22"/>
      <c r="K99" s="22"/>
      <c r="L99" s="23" t="b">
        <f aca="false">FALSE()</f>
        <v>0</v>
      </c>
    </row>
    <row r="100" customFormat="false" ht="42" hidden="false" customHeight="true" outlineLevel="0" collapsed="false">
      <c r="A100" s="18" t="n">
        <v>35</v>
      </c>
      <c r="B100" s="19" t="n">
        <f aca="false">IF(Settings!$B$9=TRUE(),WORKDAY(Settings!$B$6-1,A100),Settings!$B$6+A100-1)</f>
        <v>46199</v>
      </c>
      <c r="C100" s="30" t="s">
        <v>258</v>
      </c>
      <c r="D100" s="25" t="s">
        <v>23</v>
      </c>
      <c r="E100" s="22" t="s">
        <v>286</v>
      </c>
      <c r="F100" s="22" t="s">
        <v>287</v>
      </c>
      <c r="G100" s="18" t="s">
        <v>288</v>
      </c>
      <c r="H100" s="18" t="n">
        <v>5</v>
      </c>
      <c r="I100" s="23" t="b">
        <f aca="false">TRUE()</f>
        <v>1</v>
      </c>
      <c r="J100" s="22"/>
      <c r="K100" s="22"/>
      <c r="L100" s="23" t="b">
        <f aca="false">FALSE()</f>
        <v>0</v>
      </c>
    </row>
    <row r="101" customFormat="false" ht="42" hidden="false" customHeight="true" outlineLevel="0" collapsed="false">
      <c r="A101" s="18" t="n">
        <v>35</v>
      </c>
      <c r="B101" s="19" t="n">
        <f aca="false">IF(Settings!$B$9=TRUE(),WORKDAY(Settings!$B$6-1,A101),Settings!$B$6+A101-1)</f>
        <v>46199</v>
      </c>
      <c r="C101" s="30" t="s">
        <v>258</v>
      </c>
      <c r="D101" s="24" t="s">
        <v>25</v>
      </c>
      <c r="E101" s="22" t="s">
        <v>289</v>
      </c>
      <c r="F101" s="22" t="s">
        <v>290</v>
      </c>
      <c r="G101" s="18" t="s">
        <v>288</v>
      </c>
      <c r="H101" s="18" t="n">
        <v>2</v>
      </c>
      <c r="I101" s="23" t="b">
        <f aca="false">TRUE()</f>
        <v>1</v>
      </c>
      <c r="J101" s="22"/>
      <c r="K101" s="22"/>
      <c r="L101" s="23" t="b">
        <f aca="false">FALSE()</f>
        <v>0</v>
      </c>
    </row>
    <row r="102" customFormat="false" ht="42" hidden="false" customHeight="true" outlineLevel="0" collapsed="false">
      <c r="A102" s="18" t="n">
        <v>35</v>
      </c>
      <c r="B102" s="19" t="n">
        <f aca="false">IF(Settings!$B$9=TRUE(),WORKDAY(Settings!$B$6-1,A102),Settings!$B$6+A102-1)</f>
        <v>46199</v>
      </c>
      <c r="C102" s="30" t="s">
        <v>258</v>
      </c>
      <c r="D102" s="27" t="s">
        <v>27</v>
      </c>
      <c r="E102" s="22" t="s">
        <v>291</v>
      </c>
      <c r="F102" s="22" t="s">
        <v>292</v>
      </c>
      <c r="G102" s="18" t="s">
        <v>288</v>
      </c>
      <c r="H102" s="18" t="n">
        <v>1</v>
      </c>
      <c r="I102" s="23" t="b">
        <f aca="false">TRUE()</f>
        <v>1</v>
      </c>
      <c r="J102" s="22"/>
      <c r="K102" s="22"/>
      <c r="L102" s="23" t="b">
        <f aca="false">FALSE()</f>
        <v>0</v>
      </c>
    </row>
  </sheetData>
  <mergeCells count="1">
    <mergeCell ref="A1:L1"/>
  </mergeCells>
  <conditionalFormatting sqref="A7:L102">
    <cfRule type="expression" priority="2" aboveAverage="0" equalAverage="0" bottom="0" percent="0" rank="0" text="" dxfId="0">
      <formula>$L7=1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30" hidden="false" customHeight="true" outlineLevel="0" collapsed="false">
      <c r="A1" s="13" t="s">
        <v>293</v>
      </c>
      <c r="B1" s="13"/>
      <c r="C1" s="13"/>
      <c r="D1" s="13"/>
      <c r="E1" s="13"/>
    </row>
    <row r="3" customFormat="false" ht="15" hidden="false" customHeight="false" outlineLevel="0" collapsed="false">
      <c r="A3" s="31" t="s">
        <v>294</v>
      </c>
    </row>
    <row r="5" customFormat="false" ht="27.75" hidden="false" customHeight="true" outlineLevel="0" collapsed="false">
      <c r="A5" s="3" t="s">
        <v>48</v>
      </c>
      <c r="B5" s="3" t="s">
        <v>295</v>
      </c>
      <c r="C5" s="3" t="s">
        <v>55</v>
      </c>
      <c r="D5" s="3" t="s">
        <v>296</v>
      </c>
      <c r="E5" s="3" t="s">
        <v>297</v>
      </c>
    </row>
    <row r="6" customFormat="false" ht="15" hidden="false" customHeight="false" outlineLevel="0" collapsed="false">
      <c r="A6" s="32" t="s">
        <v>23</v>
      </c>
      <c r="B6" s="33" t="n">
        <f aca="false">COUNTIF('Day Plan'!$D$7:$D$102,A6)</f>
        <v>49</v>
      </c>
      <c r="C6" s="33" t="n">
        <f aca="false">COUNTIFS('Day Plan'!$D$7:$D$102,A6,'Day Plan'!$L$7:$L$102,TRUE())</f>
        <v>0</v>
      </c>
      <c r="D6" s="33" t="n">
        <f aca="false">SUMIF('Day Plan'!$D$7:$D$102,A6,'Day Plan'!$H$7:$H$102)</f>
        <v>166</v>
      </c>
      <c r="E6" s="34" t="n">
        <f aca="false">IF(B6=0,0,C6/B6)</f>
        <v>0</v>
      </c>
    </row>
    <row r="7" customFormat="false" ht="15" hidden="false" customHeight="false" outlineLevel="0" collapsed="false">
      <c r="A7" s="35" t="s">
        <v>25</v>
      </c>
      <c r="B7" s="33" t="n">
        <f aca="false">COUNTIF('Day Plan'!$D$7:$D$102,A7)</f>
        <v>30</v>
      </c>
      <c r="C7" s="33" t="n">
        <f aca="false">COUNTIFS('Day Plan'!$D$7:$D$102,A7,'Day Plan'!$L$7:$L$102,TRUE())</f>
        <v>0</v>
      </c>
      <c r="D7" s="33" t="n">
        <f aca="false">SUMIF('Day Plan'!$D$7:$D$102,A7,'Day Plan'!$H$7:$H$102)</f>
        <v>69</v>
      </c>
      <c r="E7" s="34" t="n">
        <f aca="false">IF(B7=0,0,C7/B7)</f>
        <v>0</v>
      </c>
    </row>
    <row r="8" customFormat="false" ht="15" hidden="false" customHeight="false" outlineLevel="0" collapsed="false">
      <c r="A8" s="36" t="s">
        <v>27</v>
      </c>
      <c r="B8" s="33" t="n">
        <f aca="false">COUNTIF('Day Plan'!$D$7:$D$102,A8)</f>
        <v>9</v>
      </c>
      <c r="C8" s="33" t="n">
        <f aca="false">COUNTIFS('Day Plan'!$D$7:$D$102,A8,'Day Plan'!$L$7:$L$102,TRUE())</f>
        <v>0</v>
      </c>
      <c r="D8" s="33" t="n">
        <f aca="false">SUMIF('Day Plan'!$D$7:$D$102,A8,'Day Plan'!$H$7:$H$102)</f>
        <v>27</v>
      </c>
      <c r="E8" s="34" t="n">
        <f aca="false">IF(B8=0,0,C8/B8)</f>
        <v>0</v>
      </c>
    </row>
    <row r="9" customFormat="false" ht="15" hidden="false" customHeight="false" outlineLevel="0" collapsed="false">
      <c r="A9" s="37" t="s">
        <v>29</v>
      </c>
      <c r="B9" s="33" t="n">
        <f aca="false">COUNTIF('Day Plan'!$D$7:$D$102,A9)</f>
        <v>8</v>
      </c>
      <c r="C9" s="33" t="n">
        <f aca="false">COUNTIFS('Day Plan'!$D$7:$D$102,A9,'Day Plan'!$L$7:$L$102,TRUE())</f>
        <v>0</v>
      </c>
      <c r="D9" s="33" t="n">
        <f aca="false">SUMIF('Day Plan'!$D$7:$D$102,A9,'Day Plan'!$H$7:$H$102)</f>
        <v>19</v>
      </c>
      <c r="E9" s="34" t="n">
        <f aca="false">IF(B9=0,0,C9/B9)</f>
        <v>0</v>
      </c>
    </row>
    <row r="10" customFormat="false" ht="15" hidden="false" customHeight="false" outlineLevel="0" collapsed="false">
      <c r="A10" s="38" t="s">
        <v>298</v>
      </c>
      <c r="B10" s="39" t="n">
        <f aca="false">SUM(B6:B9)</f>
        <v>96</v>
      </c>
      <c r="C10" s="39" t="n">
        <f aca="false">SUM(C6:C9)</f>
        <v>0</v>
      </c>
      <c r="D10" s="39" t="n">
        <f aca="false">SUM(D6:D9)</f>
        <v>281</v>
      </c>
      <c r="E10" s="40" t="n">
        <f aca="false">IF(B10=0,0,C10/B10)</f>
        <v>0</v>
      </c>
    </row>
    <row r="13" customFormat="false" ht="15" hidden="false" customHeight="false" outlineLevel="0" collapsed="false">
      <c r="A13" s="7" t="s">
        <v>299</v>
      </c>
      <c r="B13" s="7"/>
      <c r="C13" s="7"/>
      <c r="D13" s="7"/>
      <c r="E13" s="7"/>
    </row>
    <row r="14" customFormat="false" ht="27.75" hidden="false" customHeight="true" outlineLevel="0" collapsed="false">
      <c r="A14" s="3" t="s">
        <v>47</v>
      </c>
      <c r="B14" s="3" t="s">
        <v>295</v>
      </c>
      <c r="C14" s="3" t="s">
        <v>55</v>
      </c>
      <c r="D14" s="3" t="s">
        <v>52</v>
      </c>
      <c r="E14" s="3" t="s">
        <v>297</v>
      </c>
    </row>
    <row r="15" customFormat="false" ht="15" hidden="false" customHeight="false" outlineLevel="0" collapsed="false">
      <c r="A15" s="41" t="s">
        <v>56</v>
      </c>
      <c r="B15" s="33" t="n">
        <f aca="false">COUNTIF('Day Plan'!$C$7:$C$102,A15)</f>
        <v>24</v>
      </c>
      <c r="C15" s="33" t="n">
        <f aca="false">COUNTIFS('Day Plan'!$C$7:$C$102,A15,'Day Plan'!$L$7:$L$102,TRUE())</f>
        <v>0</v>
      </c>
      <c r="D15" s="33" t="n">
        <f aca="false">SUMIF('Day Plan'!$C$7:$C$102,A15,'Day Plan'!$H$7:$H$102)</f>
        <v>55</v>
      </c>
      <c r="E15" s="34" t="n">
        <f aca="false">IF(B15=0,0,C15/B15)</f>
        <v>0</v>
      </c>
    </row>
    <row r="16" customFormat="false" ht="15" hidden="false" customHeight="false" outlineLevel="0" collapsed="false">
      <c r="A16" s="42" t="s">
        <v>111</v>
      </c>
      <c r="B16" s="33" t="n">
        <f aca="false">COUNTIF('Day Plan'!$C$7:$C$102,A16)</f>
        <v>22</v>
      </c>
      <c r="C16" s="33" t="n">
        <f aca="false">COUNTIFS('Day Plan'!$C$7:$C$102,A16,'Day Plan'!$L$7:$L$102,TRUE())</f>
        <v>0</v>
      </c>
      <c r="D16" s="33" t="n">
        <f aca="false">SUMIF('Day Plan'!$C$7:$C$102,A16,'Day Plan'!$H$7:$H$102)</f>
        <v>62</v>
      </c>
      <c r="E16" s="34" t="n">
        <f aca="false">IF(B16=0,0,C16/B16)</f>
        <v>0</v>
      </c>
    </row>
    <row r="17" customFormat="false" ht="15" hidden="false" customHeight="false" outlineLevel="0" collapsed="false">
      <c r="A17" s="43" t="s">
        <v>170</v>
      </c>
      <c r="B17" s="33" t="n">
        <f aca="false">COUNTIF('Day Plan'!$C$7:$C$102,A17)</f>
        <v>13</v>
      </c>
      <c r="C17" s="33" t="n">
        <f aca="false">COUNTIFS('Day Plan'!$C$7:$C$102,A17,'Day Plan'!$L$7:$L$102,TRUE())</f>
        <v>0</v>
      </c>
      <c r="D17" s="33" t="n">
        <f aca="false">SUMIF('Day Plan'!$C$7:$C$102,A17,'Day Plan'!$H$7:$H$102)</f>
        <v>48</v>
      </c>
      <c r="E17" s="34" t="n">
        <f aca="false">IF(B17=0,0,C17/B17)</f>
        <v>0</v>
      </c>
    </row>
    <row r="18" customFormat="false" ht="15" hidden="false" customHeight="false" outlineLevel="0" collapsed="false">
      <c r="A18" s="44" t="s">
        <v>203</v>
      </c>
      <c r="B18" s="33" t="n">
        <f aca="false">COUNTIF('Day Plan'!$C$7:$C$102,A18)</f>
        <v>22</v>
      </c>
      <c r="C18" s="33" t="n">
        <f aca="false">COUNTIFS('Day Plan'!$C$7:$C$102,A18,'Day Plan'!$L$7:$L$102,TRUE())</f>
        <v>0</v>
      </c>
      <c r="D18" s="33" t="n">
        <f aca="false">SUMIF('Day Plan'!$C$7:$C$102,A18,'Day Plan'!$H$7:$H$102)</f>
        <v>74</v>
      </c>
      <c r="E18" s="34" t="n">
        <f aca="false">IF(B18=0,0,C18/B18)</f>
        <v>0</v>
      </c>
    </row>
    <row r="19" customFormat="false" ht="15" hidden="false" customHeight="false" outlineLevel="0" collapsed="false">
      <c r="A19" s="45" t="s">
        <v>258</v>
      </c>
      <c r="B19" s="33" t="n">
        <f aca="false">COUNTIF('Day Plan'!$C$7:$C$102,A19)</f>
        <v>15</v>
      </c>
      <c r="C19" s="33" t="n">
        <f aca="false">COUNTIFS('Day Plan'!$C$7:$C$102,A19,'Day Plan'!$L$7:$L$102,TRUE())</f>
        <v>0</v>
      </c>
      <c r="D19" s="33" t="n">
        <f aca="false">SUMIF('Day Plan'!$C$7:$C$102,A19,'Day Plan'!$H$7:$H$102)</f>
        <v>42</v>
      </c>
      <c r="E19" s="34" t="n">
        <f aca="false">IF(B19=0,0,C19/B19)</f>
        <v>0</v>
      </c>
    </row>
    <row r="22" customFormat="false" ht="15" hidden="false" customHeight="false" outlineLevel="0" collapsed="false">
      <c r="A22" s="7" t="s">
        <v>300</v>
      </c>
      <c r="B22" s="7"/>
      <c r="C22" s="7"/>
      <c r="D22" s="7"/>
      <c r="E22" s="7"/>
    </row>
    <row r="23" customFormat="false" ht="27.75" hidden="false" customHeight="true" outlineLevel="0" collapsed="false">
      <c r="A23" s="3" t="s">
        <v>45</v>
      </c>
      <c r="B23" s="3" t="s">
        <v>52</v>
      </c>
      <c r="C23" s="3" t="s">
        <v>295</v>
      </c>
      <c r="D23" s="3" t="s">
        <v>40</v>
      </c>
      <c r="E23" s="3" t="s">
        <v>301</v>
      </c>
    </row>
    <row r="24" customFormat="false" ht="15" hidden="false" customHeight="false" outlineLevel="0" collapsed="false">
      <c r="A24" s="33" t="n">
        <v>1</v>
      </c>
      <c r="B24" s="33" t="n">
        <f aca="false">SUMIF('Day Plan'!$A$7:$A$102,A24,'Day Plan'!$H$7:$H$102)</f>
        <v>8</v>
      </c>
      <c r="C24" s="33" t="n">
        <f aca="false">COUNTIF('Day Plan'!$A$7:$A$102,A24)</f>
        <v>3</v>
      </c>
      <c r="D24" s="33" t="n">
        <f aca="false">COUNTIFS('Day Plan'!$A$7:$A$102,A24,'Day Plan'!$L$7:$L$102,TRUE())</f>
        <v>0</v>
      </c>
      <c r="E24" s="34" t="n">
        <f aca="false">IF(C24=0,0,D24/C24)</f>
        <v>0</v>
      </c>
    </row>
    <row r="25" customFormat="false" ht="15" hidden="false" customHeight="false" outlineLevel="0" collapsed="false">
      <c r="A25" s="33" t="n">
        <v>2</v>
      </c>
      <c r="B25" s="33" t="n">
        <f aca="false">SUMIF('Day Plan'!$A$7:$A$102,A25,'Day Plan'!$H$7:$H$102)</f>
        <v>7</v>
      </c>
      <c r="C25" s="33" t="n">
        <f aca="false">COUNTIF('Day Plan'!$A$7:$A$102,A25)</f>
        <v>5</v>
      </c>
      <c r="D25" s="33" t="n">
        <f aca="false">COUNTIFS('Day Plan'!$A$7:$A$102,A25,'Day Plan'!$L$7:$L$102,TRUE())</f>
        <v>0</v>
      </c>
      <c r="E25" s="34" t="n">
        <f aca="false">IF(C25=0,0,D25/C25)</f>
        <v>0</v>
      </c>
    </row>
    <row r="26" customFormat="false" ht="15" hidden="false" customHeight="false" outlineLevel="0" collapsed="false">
      <c r="A26" s="33" t="n">
        <v>3</v>
      </c>
      <c r="B26" s="33" t="n">
        <f aca="false">SUMIF('Day Plan'!$A$7:$A$102,A26,'Day Plan'!$H$7:$H$102)</f>
        <v>8</v>
      </c>
      <c r="C26" s="33" t="n">
        <f aca="false">COUNTIF('Day Plan'!$A$7:$A$102,A26)</f>
        <v>3</v>
      </c>
      <c r="D26" s="33" t="n">
        <f aca="false">COUNTIFS('Day Plan'!$A$7:$A$102,A26,'Day Plan'!$L$7:$L$102,TRUE())</f>
        <v>0</v>
      </c>
      <c r="E26" s="34" t="n">
        <f aca="false">IF(C26=0,0,D26/C26)</f>
        <v>0</v>
      </c>
    </row>
    <row r="27" customFormat="false" ht="15" hidden="false" customHeight="false" outlineLevel="0" collapsed="false">
      <c r="A27" s="33" t="n">
        <v>4</v>
      </c>
      <c r="B27" s="33" t="n">
        <f aca="false">SUMIF('Day Plan'!$A$7:$A$102,A27,'Day Plan'!$H$7:$H$102)</f>
        <v>8</v>
      </c>
      <c r="C27" s="33" t="n">
        <f aca="false">COUNTIF('Day Plan'!$A$7:$A$102,A27)</f>
        <v>3</v>
      </c>
      <c r="D27" s="33" t="n">
        <f aca="false">COUNTIFS('Day Plan'!$A$7:$A$102,A27,'Day Plan'!$L$7:$L$102,TRUE())</f>
        <v>0</v>
      </c>
      <c r="E27" s="34" t="n">
        <f aca="false">IF(C27=0,0,D27/C27)</f>
        <v>0</v>
      </c>
    </row>
    <row r="28" customFormat="false" ht="15" hidden="false" customHeight="false" outlineLevel="0" collapsed="false">
      <c r="A28" s="33" t="n">
        <v>5</v>
      </c>
      <c r="B28" s="33" t="n">
        <f aca="false">SUMIF('Day Plan'!$A$7:$A$102,A28,'Day Plan'!$H$7:$H$102)</f>
        <v>8</v>
      </c>
      <c r="C28" s="33" t="n">
        <f aca="false">COUNTIF('Day Plan'!$A$7:$A$102,A28)</f>
        <v>3</v>
      </c>
      <c r="D28" s="33" t="n">
        <f aca="false">COUNTIFS('Day Plan'!$A$7:$A$102,A28,'Day Plan'!$L$7:$L$102,TRUE())</f>
        <v>0</v>
      </c>
      <c r="E28" s="34" t="n">
        <f aca="false">IF(C28=0,0,D28/C28)</f>
        <v>0</v>
      </c>
    </row>
    <row r="29" customFormat="false" ht="15" hidden="false" customHeight="false" outlineLevel="0" collapsed="false">
      <c r="A29" s="33" t="n">
        <v>6</v>
      </c>
      <c r="B29" s="33" t="n">
        <f aca="false">SUMIF('Day Plan'!$A$7:$A$102,A29,'Day Plan'!$H$7:$H$102)</f>
        <v>8</v>
      </c>
      <c r="C29" s="33" t="n">
        <f aca="false">COUNTIF('Day Plan'!$A$7:$A$102,A29)</f>
        <v>5</v>
      </c>
      <c r="D29" s="33" t="n">
        <f aca="false">COUNTIFS('Day Plan'!$A$7:$A$102,A29,'Day Plan'!$L$7:$L$102,TRUE())</f>
        <v>0</v>
      </c>
      <c r="E29" s="34" t="n">
        <f aca="false">IF(C29=0,0,D29/C29)</f>
        <v>0</v>
      </c>
    </row>
    <row r="30" customFormat="false" ht="15" hidden="false" customHeight="false" outlineLevel="0" collapsed="false">
      <c r="A30" s="33" t="n">
        <v>7</v>
      </c>
      <c r="B30" s="33" t="n">
        <f aca="false">SUMIF('Day Plan'!$A$7:$A$102,A30,'Day Plan'!$H$7:$H$102)</f>
        <v>8</v>
      </c>
      <c r="C30" s="33" t="n">
        <f aca="false">COUNTIF('Day Plan'!$A$7:$A$102,A30)</f>
        <v>2</v>
      </c>
      <c r="D30" s="33" t="n">
        <f aca="false">COUNTIFS('Day Plan'!$A$7:$A$102,A30,'Day Plan'!$L$7:$L$102,TRUE())</f>
        <v>0</v>
      </c>
      <c r="E30" s="34" t="n">
        <f aca="false">IF(C30=0,0,D30/C30)</f>
        <v>0</v>
      </c>
    </row>
    <row r="31" customFormat="false" ht="15" hidden="false" customHeight="false" outlineLevel="0" collapsed="false">
      <c r="A31" s="33" t="n">
        <v>8</v>
      </c>
      <c r="B31" s="33" t="n">
        <f aca="false">SUMIF('Day Plan'!$A$7:$A$102,A31,'Day Plan'!$H$7:$H$102)</f>
        <v>8</v>
      </c>
      <c r="C31" s="33" t="n">
        <f aca="false">COUNTIF('Day Plan'!$A$7:$A$102,A31)</f>
        <v>2</v>
      </c>
      <c r="D31" s="33" t="n">
        <f aca="false">COUNTIFS('Day Plan'!$A$7:$A$102,A31,'Day Plan'!$L$7:$L$102,TRUE())</f>
        <v>0</v>
      </c>
      <c r="E31" s="34" t="n">
        <f aca="false">IF(C31=0,0,D31/C31)</f>
        <v>0</v>
      </c>
    </row>
    <row r="32" customFormat="false" ht="15" hidden="false" customHeight="false" outlineLevel="0" collapsed="false">
      <c r="A32" s="33" t="n">
        <v>9</v>
      </c>
      <c r="B32" s="33" t="n">
        <f aca="false">SUMIF('Day Plan'!$A$7:$A$102,A32,'Day Plan'!$H$7:$H$102)</f>
        <v>8</v>
      </c>
      <c r="C32" s="33" t="n">
        <f aca="false">COUNTIF('Day Plan'!$A$7:$A$102,A32)</f>
        <v>3</v>
      </c>
      <c r="D32" s="33" t="n">
        <f aca="false">COUNTIFS('Day Plan'!$A$7:$A$102,A32,'Day Plan'!$L$7:$L$102,TRUE())</f>
        <v>0</v>
      </c>
      <c r="E32" s="34" t="n">
        <f aca="false">IF(C32=0,0,D32/C32)</f>
        <v>0</v>
      </c>
    </row>
    <row r="33" customFormat="false" ht="15" hidden="false" customHeight="false" outlineLevel="0" collapsed="false">
      <c r="A33" s="33" t="n">
        <v>10</v>
      </c>
      <c r="B33" s="33" t="n">
        <f aca="false">SUMIF('Day Plan'!$A$7:$A$102,A33,'Day Plan'!$H$7:$H$102)</f>
        <v>7</v>
      </c>
      <c r="C33" s="33" t="n">
        <f aca="false">COUNTIF('Day Plan'!$A$7:$A$102,A33)</f>
        <v>4</v>
      </c>
      <c r="D33" s="33" t="n">
        <f aca="false">COUNTIFS('Day Plan'!$A$7:$A$102,A33,'Day Plan'!$L$7:$L$102,TRUE())</f>
        <v>0</v>
      </c>
      <c r="E33" s="34" t="n">
        <f aca="false">IF(C33=0,0,D33/C33)</f>
        <v>0</v>
      </c>
    </row>
    <row r="34" customFormat="false" ht="15" hidden="false" customHeight="false" outlineLevel="0" collapsed="false">
      <c r="A34" s="33" t="n">
        <v>11</v>
      </c>
      <c r="B34" s="33" t="n">
        <f aca="false">SUMIF('Day Plan'!$A$7:$A$102,A34,'Day Plan'!$H$7:$H$102)</f>
        <v>7</v>
      </c>
      <c r="C34" s="33" t="n">
        <f aca="false">COUNTIF('Day Plan'!$A$7:$A$102,A34)</f>
        <v>2</v>
      </c>
      <c r="D34" s="33" t="n">
        <f aca="false">COUNTIFS('Day Plan'!$A$7:$A$102,A34,'Day Plan'!$L$7:$L$102,TRUE())</f>
        <v>0</v>
      </c>
      <c r="E34" s="34" t="n">
        <f aca="false">IF(C34=0,0,D34/C34)</f>
        <v>0</v>
      </c>
    </row>
    <row r="35" customFormat="false" ht="15" hidden="false" customHeight="false" outlineLevel="0" collapsed="false">
      <c r="A35" s="33" t="n">
        <v>12</v>
      </c>
      <c r="B35" s="33" t="n">
        <f aca="false">SUMIF('Day Plan'!$A$7:$A$102,A35,'Day Plan'!$H$7:$H$102)</f>
        <v>8</v>
      </c>
      <c r="C35" s="33" t="n">
        <f aca="false">COUNTIF('Day Plan'!$A$7:$A$102,A35)</f>
        <v>3</v>
      </c>
      <c r="D35" s="33" t="n">
        <f aca="false">COUNTIFS('Day Plan'!$A$7:$A$102,A35,'Day Plan'!$L$7:$L$102,TRUE())</f>
        <v>0</v>
      </c>
      <c r="E35" s="34" t="n">
        <f aca="false">IF(C35=0,0,D35/C35)</f>
        <v>0</v>
      </c>
    </row>
    <row r="36" customFormat="false" ht="15" hidden="false" customHeight="false" outlineLevel="0" collapsed="false">
      <c r="A36" s="33" t="n">
        <v>13</v>
      </c>
      <c r="B36" s="33" t="n">
        <f aca="false">SUMIF('Day Plan'!$A$7:$A$102,A36,'Day Plan'!$H$7:$H$102)</f>
        <v>8</v>
      </c>
      <c r="C36" s="33" t="n">
        <f aca="false">COUNTIF('Day Plan'!$A$7:$A$102,A36)</f>
        <v>3</v>
      </c>
      <c r="D36" s="33" t="n">
        <f aca="false">COUNTIFS('Day Plan'!$A$7:$A$102,A36,'Day Plan'!$L$7:$L$102,TRUE())</f>
        <v>0</v>
      </c>
      <c r="E36" s="34" t="n">
        <f aca="false">IF(C36=0,0,D36/C36)</f>
        <v>0</v>
      </c>
    </row>
    <row r="37" customFormat="false" ht="15" hidden="false" customHeight="false" outlineLevel="0" collapsed="false">
      <c r="A37" s="33" t="n">
        <v>14</v>
      </c>
      <c r="B37" s="33" t="n">
        <f aca="false">SUMIF('Day Plan'!$A$7:$A$102,A37,'Day Plan'!$H$7:$H$102)</f>
        <v>8</v>
      </c>
      <c r="C37" s="33" t="n">
        <f aca="false">COUNTIF('Day Plan'!$A$7:$A$102,A37)</f>
        <v>3</v>
      </c>
      <c r="D37" s="33" t="n">
        <f aca="false">COUNTIFS('Day Plan'!$A$7:$A$102,A37,'Day Plan'!$L$7:$L$102,TRUE())</f>
        <v>0</v>
      </c>
      <c r="E37" s="34" t="n">
        <f aca="false">IF(C37=0,0,D37/C37)</f>
        <v>0</v>
      </c>
    </row>
    <row r="38" customFormat="false" ht="15" hidden="false" customHeight="false" outlineLevel="0" collapsed="false">
      <c r="A38" s="33" t="n">
        <v>15</v>
      </c>
      <c r="B38" s="33" t="n">
        <f aca="false">SUMIF('Day Plan'!$A$7:$A$102,A38,'Day Plan'!$H$7:$H$102)</f>
        <v>8</v>
      </c>
      <c r="C38" s="33" t="n">
        <f aca="false">COUNTIF('Day Plan'!$A$7:$A$102,A38)</f>
        <v>2</v>
      </c>
      <c r="D38" s="33" t="n">
        <f aca="false">COUNTIFS('Day Plan'!$A$7:$A$102,A38,'Day Plan'!$L$7:$L$102,TRUE())</f>
        <v>0</v>
      </c>
      <c r="E38" s="34" t="n">
        <f aca="false">IF(C38=0,0,D38/C38)</f>
        <v>0</v>
      </c>
    </row>
    <row r="39" customFormat="false" ht="15" hidden="false" customHeight="false" outlineLevel="0" collapsed="false">
      <c r="A39" s="33" t="n">
        <v>16</v>
      </c>
      <c r="B39" s="33" t="n">
        <f aca="false">SUMIF('Day Plan'!$A$7:$A$102,A39,'Day Plan'!$H$7:$H$102)</f>
        <v>8</v>
      </c>
      <c r="C39" s="33" t="n">
        <f aca="false">COUNTIF('Day Plan'!$A$7:$A$102,A39)</f>
        <v>2</v>
      </c>
      <c r="D39" s="33" t="n">
        <f aca="false">COUNTIFS('Day Plan'!$A$7:$A$102,A39,'Day Plan'!$L$7:$L$102,TRUE())</f>
        <v>0</v>
      </c>
      <c r="E39" s="34" t="n">
        <f aca="false">IF(C39=0,0,D39/C39)</f>
        <v>0</v>
      </c>
    </row>
    <row r="40" customFormat="false" ht="15" hidden="false" customHeight="false" outlineLevel="0" collapsed="false">
      <c r="A40" s="33" t="n">
        <v>17</v>
      </c>
      <c r="B40" s="33" t="n">
        <f aca="false">SUMIF('Day Plan'!$A$7:$A$102,A40,'Day Plan'!$H$7:$H$102)</f>
        <v>8</v>
      </c>
      <c r="C40" s="33" t="n">
        <f aca="false">COUNTIF('Day Plan'!$A$7:$A$102,A40)</f>
        <v>3</v>
      </c>
      <c r="D40" s="33" t="n">
        <f aca="false">COUNTIFS('Day Plan'!$A$7:$A$102,A40,'Day Plan'!$L$7:$L$102,TRUE())</f>
        <v>0</v>
      </c>
      <c r="E40" s="34" t="n">
        <f aca="false">IF(C40=0,0,D40/C40)</f>
        <v>0</v>
      </c>
    </row>
    <row r="41" customFormat="false" ht="15" hidden="false" customHeight="false" outlineLevel="0" collapsed="false">
      <c r="A41" s="33" t="n">
        <v>18</v>
      </c>
      <c r="B41" s="33" t="n">
        <f aca="false">SUMIF('Day Plan'!$A$7:$A$102,A41,'Day Plan'!$H$7:$H$102)</f>
        <v>8</v>
      </c>
      <c r="C41" s="33" t="n">
        <f aca="false">COUNTIF('Day Plan'!$A$7:$A$102,A41)</f>
        <v>2</v>
      </c>
      <c r="D41" s="33" t="n">
        <f aca="false">COUNTIFS('Day Plan'!$A$7:$A$102,A41,'Day Plan'!$L$7:$L$102,TRUE())</f>
        <v>0</v>
      </c>
      <c r="E41" s="34" t="n">
        <f aca="false">IF(C41=0,0,D41/C41)</f>
        <v>0</v>
      </c>
    </row>
    <row r="42" customFormat="false" ht="15" hidden="false" customHeight="false" outlineLevel="0" collapsed="false">
      <c r="A42" s="33" t="n">
        <v>19</v>
      </c>
      <c r="B42" s="33" t="n">
        <f aca="false">SUMIF('Day Plan'!$A$7:$A$102,A42,'Day Plan'!$H$7:$H$102)</f>
        <v>8</v>
      </c>
      <c r="C42" s="33" t="n">
        <f aca="false">COUNTIF('Day Plan'!$A$7:$A$102,A42)</f>
        <v>2</v>
      </c>
      <c r="D42" s="33" t="n">
        <f aca="false">COUNTIFS('Day Plan'!$A$7:$A$102,A42,'Day Plan'!$L$7:$L$102,TRUE())</f>
        <v>0</v>
      </c>
      <c r="E42" s="34" t="n">
        <f aca="false">IF(C42=0,0,D42/C42)</f>
        <v>0</v>
      </c>
    </row>
    <row r="43" customFormat="false" ht="15" hidden="false" customHeight="false" outlineLevel="0" collapsed="false">
      <c r="A43" s="33" t="n">
        <v>20</v>
      </c>
      <c r="B43" s="33" t="n">
        <f aca="false">SUMIF('Day Plan'!$A$7:$A$102,A43,'Day Plan'!$H$7:$H$102)</f>
        <v>8</v>
      </c>
      <c r="C43" s="33" t="n">
        <f aca="false">COUNTIF('Day Plan'!$A$7:$A$102,A43)</f>
        <v>2</v>
      </c>
      <c r="D43" s="33" t="n">
        <f aca="false">COUNTIFS('Day Plan'!$A$7:$A$102,A43,'Day Plan'!$L$7:$L$102,TRUE())</f>
        <v>0</v>
      </c>
      <c r="E43" s="34" t="n">
        <f aca="false">IF(C43=0,0,D43/C43)</f>
        <v>0</v>
      </c>
    </row>
    <row r="44" customFormat="false" ht="15" hidden="false" customHeight="false" outlineLevel="0" collapsed="false">
      <c r="A44" s="33" t="n">
        <v>21</v>
      </c>
      <c r="B44" s="33" t="n">
        <f aca="false">SUMIF('Day Plan'!$A$7:$A$102,A44,'Day Plan'!$H$7:$H$102)</f>
        <v>8</v>
      </c>
      <c r="C44" s="33" t="n">
        <f aca="false">COUNTIF('Day Plan'!$A$7:$A$102,A44)</f>
        <v>2</v>
      </c>
      <c r="D44" s="33" t="n">
        <f aca="false">COUNTIFS('Day Plan'!$A$7:$A$102,A44,'Day Plan'!$L$7:$L$102,TRUE())</f>
        <v>0</v>
      </c>
      <c r="E44" s="34" t="n">
        <f aca="false">IF(C44=0,0,D44/C44)</f>
        <v>0</v>
      </c>
    </row>
    <row r="45" customFormat="false" ht="15" hidden="false" customHeight="false" outlineLevel="0" collapsed="false">
      <c r="A45" s="33" t="n">
        <v>22</v>
      </c>
      <c r="B45" s="33" t="n">
        <f aca="false">SUMIF('Day Plan'!$A$7:$A$102,A45,'Day Plan'!$H$7:$H$102)</f>
        <v>8</v>
      </c>
      <c r="C45" s="33" t="n">
        <f aca="false">COUNTIF('Day Plan'!$A$7:$A$102,A45)</f>
        <v>3</v>
      </c>
      <c r="D45" s="33" t="n">
        <f aca="false">COUNTIFS('Day Plan'!$A$7:$A$102,A45,'Day Plan'!$L$7:$L$102,TRUE())</f>
        <v>0</v>
      </c>
      <c r="E45" s="34" t="n">
        <f aca="false">IF(C45=0,0,D45/C45)</f>
        <v>0</v>
      </c>
    </row>
    <row r="46" customFormat="false" ht="15" hidden="false" customHeight="false" outlineLevel="0" collapsed="false">
      <c r="A46" s="33" t="n">
        <v>23</v>
      </c>
      <c r="B46" s="33" t="n">
        <f aca="false">SUMIF('Day Plan'!$A$7:$A$102,A46,'Day Plan'!$H$7:$H$102)</f>
        <v>8</v>
      </c>
      <c r="C46" s="33" t="n">
        <f aca="false">COUNTIF('Day Plan'!$A$7:$A$102,A46)</f>
        <v>2</v>
      </c>
      <c r="D46" s="33" t="n">
        <f aca="false">COUNTIFS('Day Plan'!$A$7:$A$102,A46,'Day Plan'!$L$7:$L$102,TRUE())</f>
        <v>0</v>
      </c>
      <c r="E46" s="34" t="n">
        <f aca="false">IF(C46=0,0,D46/C46)</f>
        <v>0</v>
      </c>
    </row>
    <row r="47" customFormat="false" ht="15" hidden="false" customHeight="false" outlineLevel="0" collapsed="false">
      <c r="A47" s="33" t="n">
        <v>24</v>
      </c>
      <c r="B47" s="33" t="n">
        <f aca="false">SUMIF('Day Plan'!$A$7:$A$102,A47,'Day Plan'!$H$7:$H$102)</f>
        <v>8</v>
      </c>
      <c r="C47" s="33" t="n">
        <f aca="false">COUNTIF('Day Plan'!$A$7:$A$102,A47)</f>
        <v>3</v>
      </c>
      <c r="D47" s="33" t="n">
        <f aca="false">COUNTIFS('Day Plan'!$A$7:$A$102,A47,'Day Plan'!$L$7:$L$102,TRUE())</f>
        <v>0</v>
      </c>
      <c r="E47" s="34" t="n">
        <f aca="false">IF(C47=0,0,D47/C47)</f>
        <v>0</v>
      </c>
    </row>
    <row r="48" customFormat="false" ht="15" hidden="false" customHeight="false" outlineLevel="0" collapsed="false">
      <c r="A48" s="33" t="n">
        <v>25</v>
      </c>
      <c r="B48" s="33" t="n">
        <f aca="false">SUMIF('Day Plan'!$A$7:$A$102,A48,'Day Plan'!$H$7:$H$102)</f>
        <v>8</v>
      </c>
      <c r="C48" s="33" t="n">
        <f aca="false">COUNTIF('Day Plan'!$A$7:$A$102,A48)</f>
        <v>3</v>
      </c>
      <c r="D48" s="33" t="n">
        <f aca="false">COUNTIFS('Day Plan'!$A$7:$A$102,A48,'Day Plan'!$L$7:$L$102,TRUE())</f>
        <v>0</v>
      </c>
      <c r="E48" s="34" t="n">
        <f aca="false">IF(C48=0,0,D48/C48)</f>
        <v>0</v>
      </c>
    </row>
    <row r="49" customFormat="false" ht="15" hidden="false" customHeight="false" outlineLevel="0" collapsed="false">
      <c r="A49" s="33" t="n">
        <v>26</v>
      </c>
      <c r="B49" s="33" t="n">
        <f aca="false">SUMIF('Day Plan'!$A$7:$A$102,A49,'Day Plan'!$H$7:$H$102)</f>
        <v>8</v>
      </c>
      <c r="C49" s="33" t="n">
        <f aca="false">COUNTIF('Day Plan'!$A$7:$A$102,A49)</f>
        <v>3</v>
      </c>
      <c r="D49" s="33" t="n">
        <f aca="false">COUNTIFS('Day Plan'!$A$7:$A$102,A49,'Day Plan'!$L$7:$L$102,TRUE())</f>
        <v>0</v>
      </c>
      <c r="E49" s="34" t="n">
        <f aca="false">IF(C49=0,0,D49/C49)</f>
        <v>0</v>
      </c>
    </row>
    <row r="50" customFormat="false" ht="15" hidden="false" customHeight="false" outlineLevel="0" collapsed="false">
      <c r="A50" s="33" t="n">
        <v>27</v>
      </c>
      <c r="B50" s="33" t="n">
        <f aca="false">SUMIF('Day Plan'!$A$7:$A$102,A50,'Day Plan'!$H$7:$H$102)</f>
        <v>8</v>
      </c>
      <c r="C50" s="33" t="n">
        <f aca="false">COUNTIF('Day Plan'!$A$7:$A$102,A50)</f>
        <v>2</v>
      </c>
      <c r="D50" s="33" t="n">
        <f aca="false">COUNTIFS('Day Plan'!$A$7:$A$102,A50,'Day Plan'!$L$7:$L$102,TRUE())</f>
        <v>0</v>
      </c>
      <c r="E50" s="34" t="n">
        <f aca="false">IF(C50=0,0,D50/C50)</f>
        <v>0</v>
      </c>
    </row>
    <row r="51" customFormat="false" ht="15" hidden="false" customHeight="false" outlineLevel="0" collapsed="false">
      <c r="A51" s="33" t="n">
        <v>28</v>
      </c>
      <c r="B51" s="33" t="n">
        <f aca="false">SUMIF('Day Plan'!$A$7:$A$102,A51,'Day Plan'!$H$7:$H$102)</f>
        <v>8</v>
      </c>
      <c r="C51" s="33" t="n">
        <f aca="false">COUNTIF('Day Plan'!$A$7:$A$102,A51)</f>
        <v>2</v>
      </c>
      <c r="D51" s="33" t="n">
        <f aca="false">COUNTIFS('Day Plan'!$A$7:$A$102,A51,'Day Plan'!$L$7:$L$102,TRUE())</f>
        <v>0</v>
      </c>
      <c r="E51" s="34" t="n">
        <f aca="false">IF(C51=0,0,D51/C51)</f>
        <v>0</v>
      </c>
    </row>
    <row r="52" customFormat="false" ht="15" hidden="false" customHeight="false" outlineLevel="0" collapsed="false">
      <c r="A52" s="33" t="n">
        <v>29</v>
      </c>
      <c r="B52" s="33" t="n">
        <f aca="false">SUMIF('Day Plan'!$A$7:$A$102,A52,'Day Plan'!$H$7:$H$102)</f>
        <v>8</v>
      </c>
      <c r="C52" s="33" t="n">
        <f aca="false">COUNTIF('Day Plan'!$A$7:$A$102,A52)</f>
        <v>2</v>
      </c>
      <c r="D52" s="33" t="n">
        <f aca="false">COUNTIFS('Day Plan'!$A$7:$A$102,A52,'Day Plan'!$L$7:$L$102,TRUE())</f>
        <v>0</v>
      </c>
      <c r="E52" s="34" t="n">
        <f aca="false">IF(C52=0,0,D52/C52)</f>
        <v>0</v>
      </c>
    </row>
    <row r="53" customFormat="false" ht="15" hidden="false" customHeight="false" outlineLevel="0" collapsed="false">
      <c r="A53" s="33" t="n">
        <v>30</v>
      </c>
      <c r="B53" s="33" t="n">
        <f aca="false">SUMIF('Day Plan'!$A$7:$A$102,A53,'Day Plan'!$H$7:$H$102)</f>
        <v>10</v>
      </c>
      <c r="C53" s="33" t="n">
        <f aca="false">COUNTIF('Day Plan'!$A$7:$A$102,A53)</f>
        <v>2</v>
      </c>
      <c r="D53" s="33" t="n">
        <f aca="false">COUNTIFS('Day Plan'!$A$7:$A$102,A53,'Day Plan'!$L$7:$L$102,TRUE())</f>
        <v>0</v>
      </c>
      <c r="E53" s="34" t="n">
        <f aca="false">IF(C53=0,0,D53/C53)</f>
        <v>0</v>
      </c>
    </row>
    <row r="54" customFormat="false" ht="15" hidden="false" customHeight="false" outlineLevel="0" collapsed="false">
      <c r="A54" s="33" t="n">
        <v>31</v>
      </c>
      <c r="B54" s="33" t="n">
        <f aca="false">SUMIF('Day Plan'!$A$7:$A$102,A54,'Day Plan'!$H$7:$H$102)</f>
        <v>10</v>
      </c>
      <c r="C54" s="33" t="n">
        <f aca="false">COUNTIF('Day Plan'!$A$7:$A$102,A54)</f>
        <v>3</v>
      </c>
      <c r="D54" s="33" t="n">
        <f aca="false">COUNTIFS('Day Plan'!$A$7:$A$102,A54,'Day Plan'!$L$7:$L$102,TRUE())</f>
        <v>0</v>
      </c>
      <c r="E54" s="34" t="n">
        <f aca="false">IF(C54=0,0,D54/C54)</f>
        <v>0</v>
      </c>
    </row>
    <row r="55" customFormat="false" ht="15" hidden="false" customHeight="false" outlineLevel="0" collapsed="false">
      <c r="A55" s="33" t="n">
        <v>32</v>
      </c>
      <c r="B55" s="33" t="n">
        <f aca="false">SUMIF('Day Plan'!$A$7:$A$102,A55,'Day Plan'!$H$7:$H$102)</f>
        <v>8</v>
      </c>
      <c r="C55" s="33" t="n">
        <f aca="false">COUNTIF('Day Plan'!$A$7:$A$102,A55)</f>
        <v>3</v>
      </c>
      <c r="D55" s="33" t="n">
        <f aca="false">COUNTIFS('Day Plan'!$A$7:$A$102,A55,'Day Plan'!$L$7:$L$102,TRUE())</f>
        <v>0</v>
      </c>
      <c r="E55" s="34" t="n">
        <f aca="false">IF(C55=0,0,D55/C55)</f>
        <v>0</v>
      </c>
    </row>
    <row r="56" customFormat="false" ht="15" hidden="false" customHeight="false" outlineLevel="0" collapsed="false">
      <c r="A56" s="33" t="n">
        <v>33</v>
      </c>
      <c r="B56" s="33" t="n">
        <f aca="false">SUMIF('Day Plan'!$A$7:$A$102,A56,'Day Plan'!$H$7:$H$102)</f>
        <v>8</v>
      </c>
      <c r="C56" s="33" t="n">
        <f aca="false">COUNTIF('Day Plan'!$A$7:$A$102,A56)</f>
        <v>3</v>
      </c>
      <c r="D56" s="33" t="n">
        <f aca="false">COUNTIFS('Day Plan'!$A$7:$A$102,A56,'Day Plan'!$L$7:$L$102,TRUE())</f>
        <v>0</v>
      </c>
      <c r="E56" s="34" t="n">
        <f aca="false">IF(C56=0,0,D56/C56)</f>
        <v>0</v>
      </c>
    </row>
    <row r="57" customFormat="false" ht="15" hidden="false" customHeight="false" outlineLevel="0" collapsed="false">
      <c r="A57" s="33" t="n">
        <v>34</v>
      </c>
      <c r="B57" s="33" t="n">
        <f aca="false">SUMIF('Day Plan'!$A$7:$A$102,A57,'Day Plan'!$H$7:$H$102)</f>
        <v>8</v>
      </c>
      <c r="C57" s="33" t="n">
        <f aca="false">COUNTIF('Day Plan'!$A$7:$A$102,A57)</f>
        <v>3</v>
      </c>
      <c r="D57" s="33" t="n">
        <f aca="false">COUNTIFS('Day Plan'!$A$7:$A$102,A57,'Day Plan'!$L$7:$L$102,TRUE())</f>
        <v>0</v>
      </c>
      <c r="E57" s="34" t="n">
        <f aca="false">IF(C57=0,0,D57/C57)</f>
        <v>0</v>
      </c>
    </row>
    <row r="58" customFormat="false" ht="15" hidden="false" customHeight="false" outlineLevel="0" collapsed="false">
      <c r="A58" s="33" t="n">
        <v>35</v>
      </c>
      <c r="B58" s="33" t="n">
        <f aca="false">SUMIF('Day Plan'!$A$7:$A$102,A58,'Day Plan'!$H$7:$H$102)</f>
        <v>8</v>
      </c>
      <c r="C58" s="33" t="n">
        <f aca="false">COUNTIF('Day Plan'!$A$7:$A$102,A58)</f>
        <v>3</v>
      </c>
      <c r="D58" s="33" t="n">
        <f aca="false">COUNTIFS('Day Plan'!$A$7:$A$102,A58,'Day Plan'!$L$7:$L$102,TRUE())</f>
        <v>0</v>
      </c>
      <c r="E58" s="34" t="n">
        <f aca="false">IF(C58=0,0,D58/C58)</f>
        <v>0</v>
      </c>
    </row>
  </sheetData>
  <mergeCells count="3">
    <mergeCell ref="A1:E1"/>
    <mergeCell ref="A13:E13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30" hidden="false" customHeight="true" outlineLevel="0" collapsed="false">
      <c r="A1" s="13" t="s">
        <v>302</v>
      </c>
      <c r="B1" s="13"/>
      <c r="C1" s="13"/>
      <c r="D1" s="13"/>
      <c r="E1" s="13"/>
    </row>
    <row r="3" customFormat="false" ht="15" hidden="false" customHeight="false" outlineLevel="0" collapsed="false">
      <c r="A3" s="31" t="s">
        <v>303</v>
      </c>
    </row>
    <row r="5" customFormat="false" ht="27.75" hidden="false" customHeight="true" outlineLevel="0" collapsed="false">
      <c r="A5" s="3" t="s">
        <v>304</v>
      </c>
      <c r="B5" s="3" t="s">
        <v>305</v>
      </c>
      <c r="C5" s="3" t="s">
        <v>306</v>
      </c>
      <c r="D5" s="3" t="s">
        <v>307</v>
      </c>
      <c r="E5" s="3" t="s">
        <v>308</v>
      </c>
    </row>
    <row r="6" customFormat="false" ht="37.5" hidden="false" customHeight="true" outlineLevel="0" collapsed="false">
      <c r="A6" s="46" t="s">
        <v>309</v>
      </c>
      <c r="B6" s="18" t="n">
        <v>3</v>
      </c>
      <c r="C6" s="18" t="n">
        <v>4</v>
      </c>
      <c r="D6" s="18" t="n">
        <f aca="false">B6*C6</f>
        <v>12</v>
      </c>
      <c r="E6" s="46" t="s">
        <v>310</v>
      </c>
    </row>
    <row r="7" customFormat="false" ht="37.5" hidden="false" customHeight="true" outlineLevel="0" collapsed="false">
      <c r="A7" s="46" t="s">
        <v>311</v>
      </c>
      <c r="B7" s="18" t="n">
        <v>2</v>
      </c>
      <c r="C7" s="18" t="n">
        <v>3</v>
      </c>
      <c r="D7" s="18" t="n">
        <f aca="false">B7*C7</f>
        <v>6</v>
      </c>
      <c r="E7" s="46" t="s">
        <v>312</v>
      </c>
    </row>
    <row r="8" customFormat="false" ht="37.5" hidden="false" customHeight="true" outlineLevel="0" collapsed="false">
      <c r="A8" s="46" t="s">
        <v>313</v>
      </c>
      <c r="B8" s="18" t="n">
        <v>4</v>
      </c>
      <c r="C8" s="18" t="n">
        <v>4</v>
      </c>
      <c r="D8" s="18" t="n">
        <f aca="false">B8*C8</f>
        <v>16</v>
      </c>
      <c r="E8" s="46" t="s">
        <v>314</v>
      </c>
    </row>
    <row r="9" customFormat="false" ht="37.5" hidden="false" customHeight="true" outlineLevel="0" collapsed="false">
      <c r="A9" s="46" t="s">
        <v>315</v>
      </c>
      <c r="B9" s="18" t="n">
        <v>4</v>
      </c>
      <c r="C9" s="18" t="n">
        <v>4</v>
      </c>
      <c r="D9" s="18" t="n">
        <f aca="false">B9*C9</f>
        <v>16</v>
      </c>
      <c r="E9" s="46" t="s">
        <v>316</v>
      </c>
    </row>
    <row r="10" customFormat="false" ht="37.5" hidden="false" customHeight="true" outlineLevel="0" collapsed="false">
      <c r="A10" s="46" t="s">
        <v>317</v>
      </c>
      <c r="B10" s="18" t="n">
        <v>4</v>
      </c>
      <c r="C10" s="18" t="n">
        <v>3</v>
      </c>
      <c r="D10" s="18" t="n">
        <f aca="false">B10*C10</f>
        <v>12</v>
      </c>
      <c r="E10" s="46" t="s">
        <v>318</v>
      </c>
    </row>
    <row r="11" customFormat="false" ht="37.5" hidden="false" customHeight="true" outlineLevel="0" collapsed="false">
      <c r="A11" s="46" t="s">
        <v>319</v>
      </c>
      <c r="B11" s="18" t="n">
        <v>3</v>
      </c>
      <c r="C11" s="18" t="n">
        <v>5</v>
      </c>
      <c r="D11" s="18" t="n">
        <f aca="false">B11*C11</f>
        <v>15</v>
      </c>
      <c r="E11" s="46" t="s">
        <v>320</v>
      </c>
    </row>
    <row r="12" customFormat="false" ht="37.5" hidden="false" customHeight="true" outlineLevel="0" collapsed="false">
      <c r="A12" s="46" t="s">
        <v>321</v>
      </c>
      <c r="B12" s="18" t="n">
        <v>2</v>
      </c>
      <c r="C12" s="18" t="n">
        <v>5</v>
      </c>
      <c r="D12" s="18" t="n">
        <f aca="false">B12*C12</f>
        <v>10</v>
      </c>
      <c r="E12" s="46" t="s">
        <v>322</v>
      </c>
    </row>
    <row r="13" customFormat="false" ht="37.5" hidden="false" customHeight="true" outlineLevel="0" collapsed="false">
      <c r="A13" s="46" t="s">
        <v>323</v>
      </c>
      <c r="B13" s="18" t="n">
        <v>3</v>
      </c>
      <c r="C13" s="18" t="n">
        <v>3</v>
      </c>
      <c r="D13" s="18" t="n">
        <f aca="false">B13*C13</f>
        <v>9</v>
      </c>
      <c r="E13" s="46" t="s">
        <v>324</v>
      </c>
    </row>
    <row r="14" customFormat="false" ht="37.5" hidden="false" customHeight="true" outlineLevel="0" collapsed="false">
      <c r="A14" s="46" t="s">
        <v>325</v>
      </c>
      <c r="B14" s="18" t="n">
        <v>3</v>
      </c>
      <c r="C14" s="18" t="n">
        <v>4</v>
      </c>
      <c r="D14" s="18" t="n">
        <f aca="false">B14*C14</f>
        <v>12</v>
      </c>
      <c r="E14" s="46" t="s">
        <v>326</v>
      </c>
    </row>
    <row r="15" customFormat="false" ht="37.5" hidden="false" customHeight="true" outlineLevel="0" collapsed="false">
      <c r="A15" s="46" t="s">
        <v>327</v>
      </c>
      <c r="B15" s="18" t="n">
        <v>2</v>
      </c>
      <c r="C15" s="18" t="n">
        <v>3</v>
      </c>
      <c r="D15" s="18" t="n">
        <f aca="false">B15*C15</f>
        <v>6</v>
      </c>
      <c r="E15" s="46" t="s">
        <v>328</v>
      </c>
    </row>
  </sheetData>
  <mergeCells count="1">
    <mergeCell ref="A1:E1"/>
  </mergeCells>
  <conditionalFormatting sqref="D6:D15">
    <cfRule type="cellIs" priority="2" operator="greaterThanOrEqual" aboveAverage="0" equalAverage="0" bottom="0" percent="0" rank="0" text="" dxfId="1">
      <formula>15</formula>
    </cfRule>
    <cfRule type="cellIs" priority="3" operator="between" aboveAverage="0" equalAverage="0" bottom="0" percent="0" rank="0" text="" dxfId="2">
      <formula>8</formula>
      <formula>14</formula>
    </cfRule>
    <cfRule type="cellIs" priority="4" operator="lessThanOrEqual" aboveAverage="0" equalAverage="0" bottom="0" percent="0" rank="0" text="" dxfId="3">
      <formula>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3" t="s">
        <v>329</v>
      </c>
      <c r="B1" s="13"/>
      <c r="C1" s="13"/>
      <c r="D1" s="13"/>
    </row>
    <row r="3" customFormat="false" ht="15" hidden="false" customHeight="false" outlineLevel="0" collapsed="false">
      <c r="A3" s="31" t="s">
        <v>330</v>
      </c>
    </row>
    <row r="5" customFormat="false" ht="27.75" hidden="false" customHeight="true" outlineLevel="0" collapsed="false">
      <c r="A5" s="3" t="s">
        <v>46</v>
      </c>
      <c r="B5" s="3" t="s">
        <v>331</v>
      </c>
      <c r="C5" s="3" t="s">
        <v>332</v>
      </c>
      <c r="D5" s="3" t="s">
        <v>333</v>
      </c>
    </row>
    <row r="6" customFormat="false" ht="30" hidden="false" customHeight="true" outlineLevel="0" collapsed="false">
      <c r="A6" s="47"/>
      <c r="B6" s="46"/>
      <c r="C6" s="46"/>
      <c r="D6" s="46"/>
    </row>
    <row r="7" customFormat="false" ht="30" hidden="false" customHeight="true" outlineLevel="0" collapsed="false">
      <c r="A7" s="47"/>
      <c r="B7" s="46"/>
      <c r="C7" s="46"/>
      <c r="D7" s="46"/>
    </row>
    <row r="8" customFormat="false" ht="30" hidden="false" customHeight="true" outlineLevel="0" collapsed="false">
      <c r="A8" s="47"/>
      <c r="B8" s="46"/>
      <c r="C8" s="46"/>
      <c r="D8" s="46"/>
    </row>
    <row r="9" customFormat="false" ht="30" hidden="false" customHeight="true" outlineLevel="0" collapsed="false">
      <c r="A9" s="47"/>
      <c r="B9" s="46"/>
      <c r="C9" s="46"/>
      <c r="D9" s="46"/>
    </row>
    <row r="10" customFormat="false" ht="30" hidden="false" customHeight="true" outlineLevel="0" collapsed="false">
      <c r="A10" s="47"/>
      <c r="B10" s="46"/>
      <c r="C10" s="46"/>
      <c r="D10" s="46"/>
    </row>
    <row r="11" customFormat="false" ht="30" hidden="false" customHeight="true" outlineLevel="0" collapsed="false">
      <c r="A11" s="47"/>
      <c r="B11" s="46"/>
      <c r="C11" s="46"/>
      <c r="D11" s="46"/>
    </row>
    <row r="12" customFormat="false" ht="30" hidden="false" customHeight="true" outlineLevel="0" collapsed="false">
      <c r="A12" s="47"/>
      <c r="B12" s="46"/>
      <c r="C12" s="46"/>
      <c r="D12" s="46"/>
    </row>
    <row r="13" customFormat="false" ht="30" hidden="false" customHeight="true" outlineLevel="0" collapsed="false">
      <c r="A13" s="47"/>
      <c r="B13" s="46"/>
      <c r="C13" s="46"/>
      <c r="D13" s="46"/>
    </row>
    <row r="14" customFormat="false" ht="30" hidden="false" customHeight="true" outlineLevel="0" collapsed="false">
      <c r="A14" s="47"/>
      <c r="B14" s="46"/>
      <c r="C14" s="46"/>
      <c r="D14" s="46"/>
    </row>
    <row r="15" customFormat="false" ht="30" hidden="false" customHeight="true" outlineLevel="0" collapsed="false">
      <c r="A15" s="47"/>
      <c r="B15" s="46"/>
      <c r="C15" s="46"/>
      <c r="D15" s="46"/>
    </row>
    <row r="16" customFormat="false" ht="30" hidden="false" customHeight="true" outlineLevel="0" collapsed="false">
      <c r="A16" s="47"/>
      <c r="B16" s="46"/>
      <c r="C16" s="46"/>
      <c r="D16" s="46"/>
    </row>
    <row r="17" customFormat="false" ht="30" hidden="false" customHeight="true" outlineLevel="0" collapsed="false">
      <c r="A17" s="47"/>
      <c r="B17" s="46"/>
      <c r="C17" s="46"/>
      <c r="D17" s="46"/>
    </row>
    <row r="18" customFormat="false" ht="30" hidden="false" customHeight="true" outlineLevel="0" collapsed="false">
      <c r="A18" s="47"/>
      <c r="B18" s="46"/>
      <c r="C18" s="46"/>
      <c r="D18" s="46"/>
    </row>
    <row r="19" customFormat="false" ht="30" hidden="false" customHeight="true" outlineLevel="0" collapsed="false">
      <c r="A19" s="47"/>
      <c r="B19" s="46"/>
      <c r="C19" s="46"/>
      <c r="D19" s="46"/>
    </row>
    <row r="20" customFormat="false" ht="30" hidden="false" customHeight="true" outlineLevel="0" collapsed="false">
      <c r="A20" s="47"/>
      <c r="B20" s="46"/>
      <c r="C20" s="46"/>
      <c r="D20" s="46"/>
    </row>
    <row r="21" customFormat="false" ht="30" hidden="false" customHeight="true" outlineLevel="0" collapsed="false">
      <c r="A21" s="47"/>
      <c r="B21" s="46"/>
      <c r="C21" s="46"/>
      <c r="D21" s="46"/>
    </row>
    <row r="22" customFormat="false" ht="30" hidden="false" customHeight="true" outlineLevel="0" collapsed="false">
      <c r="A22" s="47"/>
      <c r="B22" s="46"/>
      <c r="C22" s="46"/>
      <c r="D22" s="46"/>
    </row>
    <row r="23" customFormat="false" ht="30" hidden="false" customHeight="true" outlineLevel="0" collapsed="false">
      <c r="A23" s="47"/>
      <c r="B23" s="46"/>
      <c r="C23" s="46"/>
      <c r="D23" s="46"/>
    </row>
    <row r="24" customFormat="false" ht="30" hidden="false" customHeight="true" outlineLevel="0" collapsed="false">
      <c r="A24" s="47"/>
      <c r="B24" s="46"/>
      <c r="C24" s="46"/>
      <c r="D24" s="46"/>
    </row>
    <row r="25" customFormat="false" ht="30" hidden="false" customHeight="true" outlineLevel="0" collapsed="false">
      <c r="A25" s="47"/>
      <c r="B25" s="46"/>
      <c r="C25" s="46"/>
      <c r="D25" s="46"/>
    </row>
    <row r="26" customFormat="false" ht="30" hidden="false" customHeight="true" outlineLevel="0" collapsed="false">
      <c r="A26" s="47"/>
      <c r="B26" s="46"/>
      <c r="C26" s="46"/>
      <c r="D26" s="46"/>
    </row>
    <row r="27" customFormat="false" ht="30" hidden="false" customHeight="true" outlineLevel="0" collapsed="false">
      <c r="A27" s="47"/>
      <c r="B27" s="46"/>
      <c r="C27" s="46"/>
      <c r="D27" s="46"/>
    </row>
    <row r="28" customFormat="false" ht="30" hidden="false" customHeight="true" outlineLevel="0" collapsed="false">
      <c r="A28" s="47"/>
      <c r="B28" s="46"/>
      <c r="C28" s="46"/>
      <c r="D28" s="46"/>
    </row>
    <row r="29" customFormat="false" ht="30" hidden="false" customHeight="true" outlineLevel="0" collapsed="false">
      <c r="A29" s="47"/>
      <c r="B29" s="46"/>
      <c r="C29" s="46"/>
      <c r="D29" s="46"/>
    </row>
    <row r="30" customFormat="false" ht="30" hidden="false" customHeight="true" outlineLevel="0" collapsed="false">
      <c r="A30" s="47"/>
      <c r="B30" s="46"/>
      <c r="C30" s="46"/>
      <c r="D30" s="46"/>
    </row>
    <row r="31" customFormat="false" ht="30" hidden="false" customHeight="true" outlineLevel="0" collapsed="false">
      <c r="A31" s="47"/>
      <c r="B31" s="46"/>
      <c r="C31" s="46"/>
      <c r="D31" s="46"/>
    </row>
    <row r="32" customFormat="false" ht="30" hidden="false" customHeight="true" outlineLevel="0" collapsed="false">
      <c r="A32" s="47"/>
      <c r="B32" s="46"/>
      <c r="C32" s="46"/>
      <c r="D32" s="46"/>
    </row>
    <row r="33" customFormat="false" ht="30" hidden="false" customHeight="true" outlineLevel="0" collapsed="false">
      <c r="A33" s="47"/>
      <c r="B33" s="46"/>
      <c r="C33" s="46"/>
      <c r="D33" s="46"/>
    </row>
    <row r="34" customFormat="false" ht="30" hidden="false" customHeight="true" outlineLevel="0" collapsed="false">
      <c r="A34" s="47"/>
      <c r="B34" s="46"/>
      <c r="C34" s="46"/>
      <c r="D34" s="46"/>
    </row>
    <row r="35" customFormat="false" ht="30" hidden="false" customHeight="true" outlineLevel="0" collapsed="false">
      <c r="A35" s="47"/>
      <c r="B35" s="46"/>
      <c r="C35" s="46"/>
      <c r="D35" s="4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2026-05-07T15:54:06Z</dcterms:created>
  <dc:creator>openpyxl</dc:creator>
  <dc:description/>
  <dc:language>en-US</dc:language>
  <cp:lastModifiedBy/>
  <dcterms:modified xsi:type="dcterms:W3CDTF">2026-05-07T15:54:06Z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